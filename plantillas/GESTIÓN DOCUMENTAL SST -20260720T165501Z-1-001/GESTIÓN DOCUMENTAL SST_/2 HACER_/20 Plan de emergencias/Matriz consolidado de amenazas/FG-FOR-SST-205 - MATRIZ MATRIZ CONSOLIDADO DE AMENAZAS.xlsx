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SOLIDADO ANÁLISIS DEL RIESGO" sheetId="1" state="visible" r:id="rId1"/>
    <sheet xmlns:r="http://schemas.openxmlformats.org/officeDocument/2006/relationships" name="cambios" sheetId="2" state="visible" r:id="rId2"/>
  </sheets>
  <definedNames>
    <definedName name="_xlfn.AGGREGATE">#NAME?</definedName>
    <definedName name="_xlfn.IFERROR">#NAME?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  <sz val="14"/>
    </font>
    <font/>
    <font>
      <name val="Calibri"/>
      <color theme="1"/>
      <sz val="11"/>
    </font>
    <font>
      <name val="Calibri"/>
      <b val="1"/>
      <color theme="0"/>
      <sz val="11"/>
    </font>
    <font>
      <name val="Calibri"/>
      <color theme="0"/>
      <sz val="11"/>
    </font>
    <font>
      <name val="Calibri"/>
      <color rgb="FF000000"/>
      <sz val="11"/>
    </font>
    <font>
      <b val="1"/>
      <color rgb="00FFFFFF"/>
      <sz val="11"/>
    </font>
    <font>
      <b val="1"/>
      <color rgb="00FFFFFF"/>
      <sz val="14"/>
    </font>
    <font>
      <b val="1"/>
      <color rgb="00FFFFFF"/>
    </font>
  </fonts>
  <fills count="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66CC"/>
        <bgColor rgb="FF0066CC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45">
    <border/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</border>
    <border>
      <right style="thin">
        <color rgb="FF000000"/>
      </right>
    </border>
    <border>
      <left/>
      <right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  <bottom style="thin">
        <color rgb="FF000000"/>
      </bottom>
    </border>
    <border>
      <righ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medium">
        <color rgb="FF000000"/>
      </right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4" fillId="0" borderId="5" applyAlignment="1" pivotButton="0" quotePrefix="0" xfId="0">
      <alignment horizontal="left" vertical="bottom"/>
    </xf>
    <xf numFmtId="0" fontId="3" fillId="0" borderId="6" pivotButton="0" quotePrefix="0" xfId="0"/>
    <xf numFmtId="0" fontId="4" fillId="0" borderId="0" applyAlignment="1" pivotButton="0" quotePrefix="0" xfId="0">
      <alignment vertical="bottom"/>
    </xf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5" applyAlignment="1" pivotButton="0" quotePrefix="0" xfId="0">
      <alignment horizontal="left" vertical="bottom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1" fillId="2" borderId="5" applyAlignment="1" pivotButton="0" quotePrefix="0" xfId="0">
      <alignment horizontal="left" vertical="center" wrapText="1"/>
    </xf>
    <xf numFmtId="0" fontId="4" fillId="2" borderId="14" applyAlignment="1" pivotButton="0" quotePrefix="0" xfId="0">
      <alignment vertical="bottom"/>
    </xf>
    <xf numFmtId="0" fontId="5" fillId="3" borderId="15" applyAlignment="1" pivotButton="0" quotePrefix="0" xfId="0">
      <alignment horizontal="center" vertical="center"/>
    </xf>
    <xf numFmtId="0" fontId="3" fillId="0" borderId="16" pivotButton="0" quotePrefix="0" xfId="0"/>
    <xf numFmtId="0" fontId="5" fillId="3" borderId="17" applyAlignment="1" pivotButton="0" quotePrefix="0" xfId="0">
      <alignment horizontal="center" vertical="center"/>
    </xf>
    <xf numFmtId="0" fontId="3" fillId="0" borderId="18" pivotButton="0" quotePrefix="0" xfId="0"/>
    <xf numFmtId="0" fontId="3" fillId="0" borderId="19" pivotButton="0" quotePrefix="0" xfId="0"/>
    <xf numFmtId="0" fontId="5" fillId="3" borderId="20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5" fillId="3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5" fillId="3" borderId="25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 textRotation="90" wrapText="1"/>
    </xf>
    <xf numFmtId="0" fontId="6" fillId="3" borderId="27" applyAlignment="1" pivotButton="0" quotePrefix="0" xfId="0">
      <alignment horizontal="center" vertical="center" textRotation="90" wrapText="1"/>
    </xf>
    <xf numFmtId="0" fontId="5" fillId="3" borderId="27" applyAlignment="1" pivotButton="0" quotePrefix="0" xfId="0">
      <alignment horizontal="center" vertical="center" textRotation="90" wrapText="1"/>
    </xf>
    <xf numFmtId="0" fontId="5" fillId="3" borderId="28" applyAlignment="1" pivotButton="0" quotePrefix="0" xfId="0">
      <alignment horizontal="center" vertical="center" textRotation="90" wrapText="1"/>
    </xf>
    <xf numFmtId="0" fontId="4" fillId="0" borderId="29" applyAlignment="1" pivotButton="0" quotePrefix="0" xfId="0">
      <alignment horizontal="left" vertical="center"/>
    </xf>
    <xf numFmtId="0" fontId="4" fillId="2" borderId="30" applyAlignment="1" pivotButton="0" quotePrefix="0" xfId="0">
      <alignment horizontal="left" vertical="center"/>
    </xf>
    <xf numFmtId="2" fontId="4" fillId="0" borderId="31" applyAlignment="1" pivotButton="0" quotePrefix="0" xfId="0">
      <alignment horizontal="center" vertical="center"/>
    </xf>
    <xf numFmtId="2" fontId="4" fillId="4" borderId="32" applyAlignment="1" pivotButton="0" quotePrefix="0" xfId="0">
      <alignment horizontal="center" vertical="center"/>
    </xf>
    <xf numFmtId="2" fontId="4" fillId="5" borderId="32" applyAlignment="1" pivotButton="0" quotePrefix="0" xfId="0">
      <alignment horizontal="center" vertical="center"/>
    </xf>
    <xf numFmtId="0" fontId="4" fillId="2" borderId="33" applyAlignment="1" pivotButton="0" quotePrefix="0" xfId="0">
      <alignment horizontal="center" vertical="bottom"/>
    </xf>
    <xf numFmtId="0" fontId="1" fillId="0" borderId="34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35" applyAlignment="1" pivotButton="0" quotePrefix="0" xfId="0">
      <alignment horizontal="left" vertical="center" wrapText="1"/>
    </xf>
    <xf numFmtId="0" fontId="4" fillId="2" borderId="35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2" fontId="4" fillId="0" borderId="36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bottom"/>
    </xf>
    <xf numFmtId="0" fontId="1" fillId="0" borderId="5" applyAlignment="1" pivotButton="0" quotePrefix="0" xfId="0">
      <alignment horizontal="center" vertical="bottom"/>
    </xf>
    <xf numFmtId="0" fontId="3" fillId="0" borderId="37" pivotButton="0" quotePrefix="0" xfId="0"/>
    <xf numFmtId="0" fontId="4" fillId="0" borderId="35" applyAlignment="1" pivotButton="0" quotePrefix="0" xfId="0">
      <alignment horizontal="center" vertical="bottom"/>
    </xf>
    <xf numFmtId="14" fontId="4" fillId="0" borderId="35" applyAlignment="1" pivotButton="0" quotePrefix="0" xfId="0">
      <alignment horizontal="center" vertical="bottom"/>
    </xf>
    <xf numFmtId="0" fontId="0" fillId="0" borderId="0" pivotButton="0" quotePrefix="0" xfId="0"/>
    <xf numFmtId="0" fontId="8" fillId="6" borderId="41" applyAlignment="1" pivotButton="0" quotePrefix="0" xfId="0">
      <alignment horizontal="center" vertical="center"/>
    </xf>
    <xf numFmtId="0" fontId="9" fillId="6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35" applyAlignment="1" pivotButton="0" quotePrefix="0" xfId="0">
      <alignment horizontal="left" vertical="bottom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8" fillId="6" borderId="35" applyAlignment="1" pivotButton="0" quotePrefix="0" xfId="0">
      <alignment horizontal="left" vertical="center" wrapText="1"/>
    </xf>
    <xf numFmtId="0" fontId="8" fillId="6" borderId="14" applyAlignment="1" pivotButton="0" quotePrefix="0" xfId="0">
      <alignment vertical="bottom"/>
    </xf>
    <xf numFmtId="0" fontId="5" fillId="3" borderId="38" applyAlignment="1" pivotButton="0" quotePrefix="0" xfId="0">
      <alignment horizontal="center" vertical="center"/>
    </xf>
    <xf numFmtId="0" fontId="0" fillId="0" borderId="39" pivotButton="0" quotePrefix="0" xfId="0"/>
    <xf numFmtId="0" fontId="5" fillId="3" borderId="33" applyAlignment="1" pivotButton="0" quotePrefix="0" xfId="0">
      <alignment horizontal="center" vertical="center"/>
    </xf>
    <xf numFmtId="0" fontId="5" fillId="3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22" pivotButton="0" quotePrefix="0" xfId="0"/>
    <xf numFmtId="0" fontId="5" fillId="3" borderId="3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7" pivotButton="0" quotePrefix="0" xfId="0"/>
    <xf numFmtId="0" fontId="10" fillId="7" borderId="35" applyAlignment="1" pivotButton="0" quotePrefix="0" xfId="0">
      <alignment horizontal="center" vertical="center"/>
    </xf>
    <xf numFmtId="0" fontId="10" fillId="7" borderId="35" applyAlignment="1" pivotButton="0" quotePrefix="0" xfId="0">
      <alignment horizontal="left" vertical="bottom"/>
    </xf>
  </cellXfs>
  <cellStyles count="1">
    <cellStyle name="Normal" xfId="0" builtinId="0"/>
  </cellStyles>
  <dxfs count="4"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008000"/>
          <bgColor rgb="FF008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8000"/>
          <bgColor rgb="FF008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11</col>
      <colOff>104775</colOff>
      <row>14</row>
      <rowOff>161925</rowOff>
    </from>
    <ext cx="3609975" cy="25527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476250</colOff>
      <row>14</row>
      <rowOff>171450</rowOff>
    </from>
    <ext cx="4257675" cy="22764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323850</colOff>
      <row>14</row>
      <rowOff>142875</rowOff>
    </from>
    <ext cx="3086100" cy="25431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2.43" customWidth="1" style="52" min="1" max="1"/>
    <col width="10.29" customWidth="1" style="52" min="2" max="2"/>
    <col width="7.43" customWidth="1" style="52" min="3" max="4"/>
    <col width="9.710000000000001" customWidth="1" style="52" min="5" max="5"/>
    <col width="11.57" customWidth="1" style="52" min="6" max="6"/>
    <col width="7.43" customWidth="1" style="52" min="7" max="9"/>
    <col width="12.14" customWidth="1" style="52" min="10" max="10"/>
    <col width="7.43" customWidth="1" style="52" min="11" max="13"/>
    <col width="12.29" customWidth="1" style="52" min="14" max="14"/>
    <col width="15" customWidth="1" style="52" min="15" max="15"/>
    <col width="16.29" customWidth="1" style="52" min="16" max="16"/>
    <col width="0.14" customWidth="1" style="52" min="17" max="17"/>
    <col width="14.86" customWidth="1" style="52" min="18" max="18"/>
    <col width="11.43" customWidth="1" style="52" min="19" max="19"/>
    <col width="10" customWidth="1" style="52" min="20" max="26"/>
  </cols>
  <sheetData>
    <row r="1">
      <c r="A1" s="53" t="n"/>
      <c r="B1" s="76" t="inlineStr">
        <is>
          <t>MATRIZ CONSOLIDADO ANÁLISIS DEL RIESGO</t>
        </is>
      </c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6" t="n"/>
      <c r="O1" s="77" t="inlineStr">
        <is>
          <t>FECHA: 01/02/2026</t>
        </is>
      </c>
      <c r="P1" s="58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52">
      <c r="B2" s="59" t="n"/>
      <c r="N2" s="60" t="n"/>
      <c r="O2" s="57" t="inlineStr">
        <is>
          <t>VERSIÓN: 1</t>
        </is>
      </c>
      <c r="P2" s="58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 s="52">
      <c r="A3" s="61" t="n"/>
      <c r="B3" s="62" t="n"/>
      <c r="C3" s="63" t="n"/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4" t="n"/>
      <c r="O3" s="65" t="inlineStr">
        <is>
          <t>CODIGO:
FG-FOR-SST-205</t>
        </is>
      </c>
      <c r="P3" s="58" t="n"/>
      <c r="Q3" s="66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" customHeight="1" s="52">
      <c r="A4" s="67" t="inlineStr">
        <is>
          <t>ANALISIS AMENAZA</t>
        </is>
      </c>
      <c r="B4" s="68" t="n"/>
      <c r="C4" s="69" t="inlineStr">
        <is>
          <t>ANALISIS DE VULNERABILIDAD</t>
        </is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70" t="inlineStr">
        <is>
          <t>NIVEL DEL RIESGO</t>
        </is>
      </c>
      <c r="P4" s="71" t="n"/>
      <c r="Q4" s="1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5.5" customHeight="1" s="52">
      <c r="A5" s="72" t="n"/>
      <c r="B5" s="63" t="n"/>
      <c r="C5" s="69" t="inlineStr">
        <is>
          <t>PERSONAS</t>
        </is>
      </c>
      <c r="D5" s="63" t="n"/>
      <c r="E5" s="63" t="n"/>
      <c r="F5" s="63" t="n"/>
      <c r="G5" s="69" t="inlineStr">
        <is>
          <t>RECURSOS</t>
        </is>
      </c>
      <c r="H5" s="63" t="n"/>
      <c r="I5" s="63" t="n"/>
      <c r="J5" s="63" t="n"/>
      <c r="K5" s="73" t="inlineStr">
        <is>
          <t>SISTEMAS Y PROCESOS</t>
        </is>
      </c>
      <c r="L5" s="63" t="n"/>
      <c r="M5" s="63" t="n"/>
      <c r="N5" s="63" t="n"/>
      <c r="O5" s="62" t="n"/>
      <c r="P5" s="74" t="n"/>
      <c r="Q5" s="1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00.5" customHeight="1" s="52">
      <c r="A6" s="29" t="inlineStr">
        <is>
          <t>AMENAZA</t>
        </is>
      </c>
      <c r="B6" s="30" t="inlineStr">
        <is>
          <t>CALIFICACIÓN / COLOR DEL ROMBO</t>
        </is>
      </c>
      <c r="C6" s="31" t="inlineStr">
        <is>
          <t xml:space="preserve">1. Gestión Organizacional </t>
        </is>
      </c>
      <c r="D6" s="31" t="inlineStr">
        <is>
          <t xml:space="preserve">2. Capacitación y Entrenamiento </t>
        </is>
      </c>
      <c r="E6" s="31" t="inlineStr">
        <is>
          <t>3. Características de Seguridad-Dotación</t>
        </is>
      </c>
      <c r="F6" s="32" t="inlineStr">
        <is>
          <t>Total Vulenerabilidad y  Color Rombo de Personas</t>
        </is>
      </c>
      <c r="G6" s="31" t="inlineStr">
        <is>
          <t xml:space="preserve">1. Suministros </t>
        </is>
      </c>
      <c r="H6" s="31" t="inlineStr">
        <is>
          <t>2. Edificaciones y señalización</t>
        </is>
      </c>
      <c r="I6" s="31" t="inlineStr">
        <is>
          <t>3. Equipos</t>
        </is>
      </c>
      <c r="J6" s="32" t="inlineStr">
        <is>
          <t>Total Vulenerabilidad y Color Rombo de Recursos</t>
        </is>
      </c>
      <c r="K6" s="31" t="inlineStr">
        <is>
          <t>1. Servicios</t>
        </is>
      </c>
      <c r="L6" s="31" t="inlineStr">
        <is>
          <t>2. Servicios Alternos</t>
        </is>
      </c>
      <c r="M6" s="31" t="inlineStr">
        <is>
          <t>3. Recuperación</t>
        </is>
      </c>
      <c r="N6" s="32" t="inlineStr">
        <is>
          <t xml:space="preserve">Total Vulenerabilidad y Color de Sistemas y Procesos </t>
        </is>
      </c>
      <c r="O6" s="31" t="inlineStr">
        <is>
          <t>RESULTADO DEL DIAAMNTE</t>
        </is>
      </c>
      <c r="P6" s="33" t="inlineStr">
        <is>
          <t>INTERPRETACION</t>
        </is>
      </c>
      <c r="Q6" s="1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35.25" customHeight="1" s="52">
      <c r="A7" s="34" t="inlineStr">
        <is>
          <t>Sismo</t>
        </is>
      </c>
      <c r="B7" s="35" t="n"/>
      <c r="C7" s="36" t="n">
        <v>1</v>
      </c>
      <c r="D7" s="36" t="n">
        <v>1</v>
      </c>
      <c r="E7" s="36" t="n">
        <v>1</v>
      </c>
      <c r="F7" s="37">
        <f>SUM(C7:E7)</f>
        <v/>
      </c>
      <c r="G7" s="36" t="n">
        <v>1</v>
      </c>
      <c r="H7" s="36" t="n">
        <v>1</v>
      </c>
      <c r="I7" s="36" t="n">
        <v>1</v>
      </c>
      <c r="J7" s="37">
        <f>SUM(G7:I7)</f>
        <v/>
      </c>
      <c r="K7" s="36" t="n">
        <v>1</v>
      </c>
      <c r="L7" s="36" t="n">
        <v>1</v>
      </c>
      <c r="M7" s="36" t="n">
        <v>1</v>
      </c>
      <c r="N7" s="38">
        <f>SUM(K7:M7)</f>
        <v/>
      </c>
      <c r="O7" s="39" t="n"/>
      <c r="P7" s="40" t="inlineStr">
        <is>
          <t>BAJO</t>
        </is>
      </c>
      <c r="Q7" s="1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34.5" customHeight="1" s="52">
      <c r="A8" s="41" t="inlineStr">
        <is>
          <t>Vendaval</t>
        </is>
      </c>
      <c r="B8" s="35" t="n"/>
      <c r="C8" s="36" t="n">
        <v>1</v>
      </c>
      <c r="D8" s="36" t="n">
        <v>1</v>
      </c>
      <c r="E8" s="36" t="n">
        <v>1</v>
      </c>
      <c r="F8" s="37">
        <f>SUM(C8:E8)</f>
        <v/>
      </c>
      <c r="G8" s="36" t="n">
        <v>1</v>
      </c>
      <c r="H8" s="36" t="n">
        <v>1</v>
      </c>
      <c r="I8" s="36" t="n">
        <v>1</v>
      </c>
      <c r="J8" s="37">
        <f>SUM(G8:I8)</f>
        <v/>
      </c>
      <c r="K8" s="36" t="n">
        <v>1</v>
      </c>
      <c r="L8" s="36" t="n">
        <v>1</v>
      </c>
      <c r="M8" s="36" t="n">
        <v>1</v>
      </c>
      <c r="N8" s="38">
        <f>SUM(K8:M8)</f>
        <v/>
      </c>
      <c r="O8" s="39" t="n"/>
      <c r="P8" s="40" t="inlineStr">
        <is>
          <t>BAJO</t>
        </is>
      </c>
      <c r="Q8" s="1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34.5" customHeight="1" s="52">
      <c r="A9" s="41" t="inlineStr">
        <is>
          <t>Incendio tecnico</t>
        </is>
      </c>
      <c r="B9" s="35" t="n"/>
      <c r="C9" s="36" t="n">
        <v>1</v>
      </c>
      <c r="D9" s="36" t="n">
        <v>1</v>
      </c>
      <c r="E9" s="36" t="n">
        <v>1</v>
      </c>
      <c r="F9" s="37">
        <f>SUM(C9:E9)</f>
        <v/>
      </c>
      <c r="G9" s="36" t="n">
        <v>1</v>
      </c>
      <c r="H9" s="36" t="n">
        <v>1</v>
      </c>
      <c r="I9" s="36" t="n">
        <v>1</v>
      </c>
      <c r="J9" s="37">
        <f>SUM(G9:I9)</f>
        <v/>
      </c>
      <c r="K9" s="36" t="n">
        <v>1</v>
      </c>
      <c r="L9" s="36" t="n">
        <v>1</v>
      </c>
      <c r="M9" s="36" t="n">
        <v>1</v>
      </c>
      <c r="N9" s="38">
        <f>SUM(K9:M9)</f>
        <v/>
      </c>
      <c r="O9" s="39" t="n"/>
      <c r="P9" s="40" t="inlineStr">
        <is>
          <t>BAJO</t>
        </is>
      </c>
      <c r="Q9" s="1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idden="1" ht="35.25" customHeight="1" s="52">
      <c r="A10" s="41" t="inlineStr">
        <is>
          <t>Inundación</t>
        </is>
      </c>
      <c r="B10" s="35" t="n"/>
      <c r="C10" s="36" t="n"/>
      <c r="D10" s="36" t="n"/>
      <c r="E10" s="36" t="n"/>
      <c r="F10" s="37">
        <f>SUM(C10:E10)</f>
        <v/>
      </c>
      <c r="G10" s="36" t="n"/>
      <c r="H10" s="36" t="n"/>
      <c r="I10" s="36" t="n"/>
      <c r="J10" s="37">
        <f>SUM(G10:I10)</f>
        <v/>
      </c>
      <c r="K10" s="36" t="n"/>
      <c r="L10" s="36" t="n"/>
      <c r="M10" s="36" t="n"/>
      <c r="N10" s="38">
        <f>SUM(K10:M10)</f>
        <v/>
      </c>
      <c r="O10" s="39" t="n"/>
      <c r="P10" s="40" t="n"/>
      <c r="Q10" s="1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idden="1" ht="1.5" customHeight="1" s="52">
      <c r="A11" s="41" t="inlineStr">
        <is>
          <t>Revueltas / Asonada / Disturbios civiles</t>
        </is>
      </c>
      <c r="B11" s="35" t="n"/>
      <c r="C11" s="36" t="n"/>
      <c r="D11" s="36" t="n"/>
      <c r="E11" s="36" t="n"/>
      <c r="F11" s="37">
        <f>SUM(C11:E11)</f>
        <v/>
      </c>
      <c r="G11" s="36" t="n"/>
      <c r="H11" s="36" t="n"/>
      <c r="I11" s="36" t="n"/>
      <c r="J11" s="37">
        <f>SUM(G11:I11)</f>
        <v/>
      </c>
      <c r="K11" s="36" t="n"/>
      <c r="L11" s="36" t="n"/>
      <c r="M11" s="36" t="n"/>
      <c r="N11" s="38">
        <f>SUM(K11:M11)</f>
        <v/>
      </c>
      <c r="O11" s="39" t="n"/>
      <c r="P11" s="40" t="n"/>
      <c r="Q11" s="17" t="n"/>
      <c r="R11" s="7" t="n"/>
      <c r="S11" s="42" t="n"/>
      <c r="T11" s="7" t="n"/>
      <c r="U11" s="7" t="n"/>
      <c r="V11" s="7" t="n"/>
      <c r="W11" s="7" t="n"/>
      <c r="X11" s="7" t="n"/>
      <c r="Y11" s="7" t="n"/>
      <c r="Z11" s="7" t="n"/>
    </row>
    <row r="12" ht="35.25" customHeight="1" s="52">
      <c r="A12" s="43" t="inlineStr">
        <is>
          <t>Colapso estructural</t>
        </is>
      </c>
      <c r="B12" s="44" t="n"/>
      <c r="C12" s="36" t="n">
        <v>1</v>
      </c>
      <c r="D12" s="36" t="n">
        <v>1</v>
      </c>
      <c r="E12" s="36" t="n">
        <v>1</v>
      </c>
      <c r="F12" s="37">
        <f>SUM(C12:E12)</f>
        <v/>
      </c>
      <c r="G12" s="36" t="n">
        <v>1</v>
      </c>
      <c r="H12" s="36" t="n">
        <v>1</v>
      </c>
      <c r="I12" s="36" t="n">
        <v>1</v>
      </c>
      <c r="J12" s="37">
        <f>SUM(G12:I12)</f>
        <v/>
      </c>
      <c r="K12" s="36" t="n">
        <v>1</v>
      </c>
      <c r="L12" s="36" t="n">
        <v>1</v>
      </c>
      <c r="M12" s="36" t="n">
        <v>1</v>
      </c>
      <c r="N12" s="38">
        <f>SUM(K12:M12)</f>
        <v/>
      </c>
      <c r="O12" s="39" t="n"/>
      <c r="P12" s="40" t="inlineStr">
        <is>
          <t>BAJO</t>
        </is>
      </c>
      <c r="Q12" s="17" t="n"/>
      <c r="R12" s="7" t="n"/>
      <c r="S12" s="45" t="n"/>
      <c r="T12" s="7" t="n"/>
      <c r="U12" s="7" t="n"/>
      <c r="V12" s="7" t="n"/>
      <c r="W12" s="7" t="n"/>
      <c r="X12" s="7" t="n"/>
      <c r="Y12" s="7" t="n"/>
      <c r="Z12" s="7" t="n"/>
    </row>
    <row r="13" ht="35.25" customHeight="1" s="52">
      <c r="A13" s="43" t="inlineStr">
        <is>
          <t>Hurto</t>
        </is>
      </c>
      <c r="B13" s="44" t="n"/>
      <c r="C13" s="36" t="n">
        <v>1</v>
      </c>
      <c r="D13" s="36" t="n">
        <v>0.75</v>
      </c>
      <c r="E13" s="36" t="n">
        <v>0.92</v>
      </c>
      <c r="F13" s="37">
        <f>SUM(C13:E13)</f>
        <v/>
      </c>
      <c r="G13" s="36" t="n">
        <v>1</v>
      </c>
      <c r="H13" s="36" t="n">
        <v>0.75</v>
      </c>
      <c r="I13" s="36" t="n">
        <v>0.86</v>
      </c>
      <c r="J13" s="37">
        <f>SUM(G13:I13)</f>
        <v/>
      </c>
      <c r="K13" s="36" t="n">
        <v>1</v>
      </c>
      <c r="L13" s="36" t="n">
        <v>1</v>
      </c>
      <c r="M13" s="36" t="n">
        <v>1</v>
      </c>
      <c r="N13" s="37">
        <f>SUM(K13:M13)</f>
        <v/>
      </c>
      <c r="O13" s="39" t="n"/>
      <c r="P13" s="40" t="inlineStr">
        <is>
          <t>BAJO</t>
        </is>
      </c>
      <c r="Q13" s="17" t="n"/>
      <c r="R13" s="7" t="n"/>
      <c r="S13" s="45" t="n"/>
      <c r="T13" s="7" t="n"/>
      <c r="U13" s="7" t="n"/>
      <c r="V13" s="7" t="n"/>
      <c r="W13" s="7" t="n"/>
      <c r="X13" s="7" t="n"/>
      <c r="Y13" s="7" t="n"/>
      <c r="Z13" s="7" t="n"/>
    </row>
    <row r="14" ht="35.25" customHeight="1" s="52">
      <c r="A14" s="43" t="inlineStr">
        <is>
          <t>COVID-19</t>
        </is>
      </c>
      <c r="B14" s="44" t="n"/>
      <c r="C14" s="36" t="n">
        <v>1</v>
      </c>
      <c r="D14" s="36" t="n">
        <v>1</v>
      </c>
      <c r="E14" s="36" t="n">
        <v>1</v>
      </c>
      <c r="F14" s="37">
        <f>SUM(C14:E14)</f>
        <v/>
      </c>
      <c r="G14" s="36" t="n">
        <v>1</v>
      </c>
      <c r="H14" s="36" t="n">
        <v>1</v>
      </c>
      <c r="I14" s="46" t="n">
        <v>1</v>
      </c>
      <c r="J14" s="37">
        <f>SUM(G14:I14)</f>
        <v/>
      </c>
      <c r="K14" s="46" t="n">
        <v>1</v>
      </c>
      <c r="L14" s="46" t="n">
        <v>1</v>
      </c>
      <c r="M14" s="46" t="n">
        <v>1</v>
      </c>
      <c r="N14" s="37">
        <f>SUM(K14:M14)</f>
        <v/>
      </c>
      <c r="O14" s="39" t="n"/>
      <c r="P14" s="40" t="inlineStr">
        <is>
          <t>BAJO</t>
        </is>
      </c>
      <c r="Q14" s="17" t="n"/>
      <c r="R14" s="7" t="n"/>
      <c r="S14" s="45" t="n"/>
      <c r="T14" s="7" t="n"/>
      <c r="U14" s="7" t="n"/>
      <c r="V14" s="7" t="n"/>
      <c r="W14" s="7" t="n"/>
      <c r="X14" s="7" t="n"/>
      <c r="Y14" s="7" t="n"/>
      <c r="Z14" s="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7" t="n"/>
      <c r="S15" s="45" t="n"/>
      <c r="T15" s="7" t="n"/>
      <c r="U15" s="7" t="n"/>
      <c r="V15" s="7" t="n"/>
      <c r="W15" s="7" t="n"/>
      <c r="X15" s="7" t="n"/>
      <c r="Y15" s="7" t="n"/>
      <c r="Z15" s="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52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 s="5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 s="52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 s="52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52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52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52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52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52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52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5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5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5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5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5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5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5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5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5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5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5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5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5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5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5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5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5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5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5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5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5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5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5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5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5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5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5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5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5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5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5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5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5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5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5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5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5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5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5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5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5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5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5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5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5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5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5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5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5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5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5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5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5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5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5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5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5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5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5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5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5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5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5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5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5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5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5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5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5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5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5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5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5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5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5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5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5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5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5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5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5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5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5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5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5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5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5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5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5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5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5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5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5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5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5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5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5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5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5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5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5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5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5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5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5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5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5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5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5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5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5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5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5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5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5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5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5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5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5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5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5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5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5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5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5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5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5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5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5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5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5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5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5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5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5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5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5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5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5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5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5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5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5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5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5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5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5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5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5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5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5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5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5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5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5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5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5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5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5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5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5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5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5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5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5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5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5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5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5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5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5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5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5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5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5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5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5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5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5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5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5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5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5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5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5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5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5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5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5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5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5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5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5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5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5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5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5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5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5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5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5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5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5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5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5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5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5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5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5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5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5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52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5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52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5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52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5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52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5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5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52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5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52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5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52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5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52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5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5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5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52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5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52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5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52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5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52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5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5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5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52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5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52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5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52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5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52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5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5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5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52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5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52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5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52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5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52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5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5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5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52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5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52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5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52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5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52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5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5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5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52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5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52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5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52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5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52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5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5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5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52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5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52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5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52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5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52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5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5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5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52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5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52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5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52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5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52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5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5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5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52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5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52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5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52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5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52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5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5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5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52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5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52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5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52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5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52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5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5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52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5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52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5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52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5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52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5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5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5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52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5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52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5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52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5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52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5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5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5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52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5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52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5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52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5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52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5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5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5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52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5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52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5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52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5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52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5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5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5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52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5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52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5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52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5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52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5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5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5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52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5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52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5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52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5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52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5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5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5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52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5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52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5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52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5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52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5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5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5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52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5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52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5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52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5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52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5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5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5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52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5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52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5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52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5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52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5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5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5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52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5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52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5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52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5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52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5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5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52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5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52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5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52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5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52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5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5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5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52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5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52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5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52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5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52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5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5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5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52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5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52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5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52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5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52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5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5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5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52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5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52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5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52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5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52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5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5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5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52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5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52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5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52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5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52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5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5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5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52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5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52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5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52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5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52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5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5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5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52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5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52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5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52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5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52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5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5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5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52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5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52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5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52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5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52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5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5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5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52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5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52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5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52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5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52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5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5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5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52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5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52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5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52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5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52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5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5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52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5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52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5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52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5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52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5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5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5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52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5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52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5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52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5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52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5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5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5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52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5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52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5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52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5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52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5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5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5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52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5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52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5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52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5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52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5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5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5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52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5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52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5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52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5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52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5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5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5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52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5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52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5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52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5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52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5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5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5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52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5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52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5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52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5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52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5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5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5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52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5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52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5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52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5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52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5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5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5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52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5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52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5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52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5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52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5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5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5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52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5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52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5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52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5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52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5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5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52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5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52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5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52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5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52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5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5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5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52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5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52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5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52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5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52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5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5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5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52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5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52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5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52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5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52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5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5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5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52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5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52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5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52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5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52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5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5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5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52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5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52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5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52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5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52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5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5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5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52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5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52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5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52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5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52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5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5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5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52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5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52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5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52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5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52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5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5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5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52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5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52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5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52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5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52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5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5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5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52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5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52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5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52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5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52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5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5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5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52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5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52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5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52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5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52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5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5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52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5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52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5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52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5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52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5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5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5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52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5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52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5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52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5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52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5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5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5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52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5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52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5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52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5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52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5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5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5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52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5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52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5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52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5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52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5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5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5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52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5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52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5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52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5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52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5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5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5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52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5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52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5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52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5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52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5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5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5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52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5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52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5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52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5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52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5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5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5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52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5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52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5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52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5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52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5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5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5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52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5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52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5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52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5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52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5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5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5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52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5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52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5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52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5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52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5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5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52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5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52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5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52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5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52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5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5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5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52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5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52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5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52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5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52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5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5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5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52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5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52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5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52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5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52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5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5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5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52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5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52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5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52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5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52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5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5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5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52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5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52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5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52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5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52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5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5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5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52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5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52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5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52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5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52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5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5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5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52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5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52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5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52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5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52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5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5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5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52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5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52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5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52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5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52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5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5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5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52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5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52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5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52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5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52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5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5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5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52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5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52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5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52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5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52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5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5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52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5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52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5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52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5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52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5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5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5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52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5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52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5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52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5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52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5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5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5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52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5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52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5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52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5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52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5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5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5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52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5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52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5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52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5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52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5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5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5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52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5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52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5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52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5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52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11">
    <mergeCell ref="O2:P2"/>
    <mergeCell ref="A4:B5"/>
    <mergeCell ref="O4:P5"/>
    <mergeCell ref="A1:A3"/>
    <mergeCell ref="O3:P3"/>
    <mergeCell ref="K5:N5"/>
    <mergeCell ref="B1:N3"/>
    <mergeCell ref="O1:P1"/>
    <mergeCell ref="C5:F5"/>
    <mergeCell ref="G5:J5"/>
    <mergeCell ref="C4:N4"/>
  </mergeCells>
  <conditionalFormatting sqref="B7 B9:B13">
    <cfRule type="containsText" priority="1" operator="containsText" dxfId="0" text="&quot;Probable&quot;">
      <formula>NOT(ISERROR(SEARCH(("""Probable"""),(B7))))</formula>
    </cfRule>
    <cfRule type="containsText" priority="2" operator="containsText" dxfId="1" text="&quot;Posible&quot;">
      <formula>NOT(ISERROR(SEARCH(("""Posible"""),(B7))))</formula>
    </cfRule>
    <cfRule type="containsText" priority="3" operator="containsText" dxfId="2" text="&quot;Inminente &quot;">
      <formula>NOT(ISERROR(SEARCH(("""Inminente """),(B7))))</formula>
    </cfRule>
  </conditionalFormatting>
  <conditionalFormatting sqref="B14">
    <cfRule type="containsText" priority="4" operator="containsText" dxfId="0" text="&quot;Probable&quot;">
      <formula>NOT(ISERROR(SEARCH(("""Probable"""),(B14))))</formula>
    </cfRule>
    <cfRule type="containsText" priority="5" operator="containsText" dxfId="1" text="&quot;Posible&quot;">
      <formula>NOT(ISERROR(SEARCH(("""Posible"""),(B14))))</formula>
    </cfRule>
    <cfRule type="containsText" priority="6" operator="containsText" dxfId="2" text="&quot;Inminente &quot;">
      <formula>NOT(ISERROR(SEARCH(("""Inminente """),(B14))))</formula>
    </cfRule>
  </conditionalFormatting>
  <conditionalFormatting sqref="B8">
    <cfRule type="containsText" priority="7" operator="containsText" dxfId="0" text="&quot;Probable&quot;">
      <formula>NOT(ISERROR(SEARCH(("""Probable"""),(B8))))</formula>
    </cfRule>
    <cfRule type="containsText" priority="8" operator="containsText" dxfId="1" text="&quot;Posible&quot;">
      <formula>NOT(ISERROR(SEARCH(("""Posible"""),(B8))))</formula>
    </cfRule>
    <cfRule type="containsText" priority="9" operator="containsText" dxfId="2" text="&quot;Inminente &quot;">
      <formula>NOT(ISERROR(SEARCH(("""Inminente """),(B8))))</formula>
    </cfRule>
  </conditionalFormatting>
  <conditionalFormatting sqref="N7">
    <cfRule type="cellIs" priority="10" operator="greaterThanOrEqual" dxfId="3">
      <formula>$J$7</formula>
    </cfRule>
  </conditionalFormatting>
  <conditionalFormatting sqref="N8">
    <cfRule type="cellIs" priority="11" operator="lessThanOrEqual" dxfId="3">
      <formula>$N$8</formula>
    </cfRule>
  </conditionalFormatting>
  <conditionalFormatting sqref="N9">
    <cfRule type="cellIs" priority="12" operator="lessThanOrEqual" dxfId="3">
      <formula>$N$9</formula>
    </cfRule>
  </conditionalFormatting>
  <conditionalFormatting sqref="N12">
    <cfRule type="cellIs" priority="13" operator="lessThanOrEqual" dxfId="3">
      <formula>$N$9</formula>
    </cfRule>
  </conditionalFormatting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52" min="1" max="26"/>
  </cols>
  <sheetData>
    <row r="1"/>
    <row r="2"/>
    <row r="3">
      <c r="B3" s="47" t="inlineStr">
        <is>
          <t>VERSIÓN: 1</t>
        </is>
      </c>
      <c r="C3" s="47" t="inlineStr">
        <is>
          <t>FECHA: 01/02/2026</t>
        </is>
      </c>
      <c r="D3" s="47" t="inlineStr">
        <is>
          <t>cambio</t>
        </is>
      </c>
      <c r="E3" s="75" t="n"/>
      <c r="F3" s="75" t="n"/>
      <c r="G3" s="58" t="n"/>
    </row>
    <row r="4">
      <c r="B4" s="50" t="n">
        <v>1</v>
      </c>
      <c r="C4" s="51" t="n">
        <v>46054</v>
      </c>
      <c r="D4" s="57" t="inlineStr">
        <is>
          <t>Se crea matriz</t>
        </is>
      </c>
      <c r="E4" s="75" t="n"/>
      <c r="F4" s="75" t="n"/>
      <c r="G4" s="58" t="n"/>
    </row>
    <row r="5">
      <c r="B5" s="50" t="n"/>
      <c r="C5" s="50" t="n"/>
      <c r="D5" s="57" t="n"/>
      <c r="E5" s="75" t="n"/>
      <c r="F5" s="75" t="n"/>
      <c r="G5" s="58" t="n"/>
    </row>
    <row r="6">
      <c r="B6" s="50" t="n"/>
      <c r="C6" s="50" t="n"/>
      <c r="D6" s="57" t="n"/>
      <c r="E6" s="75" t="n"/>
      <c r="F6" s="75" t="n"/>
      <c r="G6" s="58" t="n"/>
    </row>
    <row r="7"/>
    <row r="8"/>
    <row r="9"/>
    <row r="10"/>
    <row r="11"/>
    <row r="12"/>
    <row r="13"/>
    <row r="14"/>
    <row r="15"/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4">
    <mergeCell ref="D5:G5"/>
    <mergeCell ref="D6:G6"/>
    <mergeCell ref="D3:G3"/>
    <mergeCell ref="D4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2015-12-03T15:49:57Z</dcterms:created>
  <dcterms:modified xmlns:dcterms="http://purl.org/dc/terms/" xmlns:xsi="http://www.w3.org/2001/XMLSchema-instance" xsi:type="dcterms:W3CDTF">2026-05-27T17:17:20Z</dcterms:modified>
</cp:coreProperties>
</file>