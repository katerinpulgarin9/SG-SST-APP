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0" windowHeight="8190" tabRatio="872" firstSheet="9" activeTab="13" autoFilterDateGrouping="1"/>
  </bookViews>
  <sheets>
    <sheet xmlns:r="http://schemas.openxmlformats.org/officeDocument/2006/relationships" name="MATRIZ" sheetId="1" state="visible" r:id="rId1"/>
    <sheet xmlns:r="http://schemas.openxmlformats.org/officeDocument/2006/relationships" name="Tasa de EL" sheetId="2" state="visible" r:id="rId2"/>
    <sheet xmlns:r="http://schemas.openxmlformats.org/officeDocument/2006/relationships" name="Índice de incidencia AT" sheetId="3" state="visible" r:id="rId3"/>
    <sheet xmlns:r="http://schemas.openxmlformats.org/officeDocument/2006/relationships" name="I.F.A.T con incapacidad" sheetId="4" state="visible" r:id="rId4"/>
    <sheet xmlns:r="http://schemas.openxmlformats.org/officeDocument/2006/relationships" name="I.F.E.L con incapacidad" sheetId="5" state="visible" r:id="rId5"/>
    <sheet xmlns:r="http://schemas.openxmlformats.org/officeDocument/2006/relationships" name="Indice de severidad EL" sheetId="6" state="visible" r:id="rId6"/>
    <sheet xmlns:r="http://schemas.openxmlformats.org/officeDocument/2006/relationships" name="Indice de lesiones incap.. AT" sheetId="7" state="visible" r:id="rId7"/>
    <sheet xmlns:r="http://schemas.openxmlformats.org/officeDocument/2006/relationships" name="Tasa de accidentalidad" sheetId="8" state="visible" r:id="rId8"/>
    <sheet xmlns:r="http://schemas.openxmlformats.org/officeDocument/2006/relationships" name="Ausentimos por causa médica" sheetId="9" state="visible" r:id="rId9"/>
    <sheet xmlns:r="http://schemas.openxmlformats.org/officeDocument/2006/relationships" name="Indice de frecuencia de ausenti" sheetId="10" state="visible" r:id="rId10"/>
    <sheet xmlns:r="http://schemas.openxmlformats.org/officeDocument/2006/relationships" name="Cobertura de inducción" sheetId="11" state="visible" r:id="rId11"/>
    <sheet xmlns:r="http://schemas.openxmlformats.org/officeDocument/2006/relationships" name="Acciones Correctivas" sheetId="12" state="visible" r:id="rId12"/>
    <sheet xmlns:r="http://schemas.openxmlformats.org/officeDocument/2006/relationships" name="Requisitos legales" sheetId="13" state="visible" r:id="rId13"/>
    <sheet xmlns:r="http://schemas.openxmlformats.org/officeDocument/2006/relationships" name="Evaluaciones ocupacionales" sheetId="14" state="visible" r:id="rId14"/>
  </sheets>
  <externalReferences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</externalReference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19">
    <font>
      <name val="Calibri"/>
      <charset val="1"/>
      <family val="2"/>
      <color rgb="FF000000"/>
      <sz val="11"/>
    </font>
    <font>
      <name val="Calibri"/>
      <charset val="1"/>
      <family val="2"/>
      <color rgb="FFFFFFFF"/>
      <sz val="11"/>
    </font>
    <font>
      <name val="Verdana"/>
      <charset val="1"/>
      <family val="2"/>
      <sz val="10"/>
    </font>
    <font>
      <name val="Verdana"/>
      <charset val="1"/>
      <family val="2"/>
      <b val="1"/>
      <sz val="10"/>
    </font>
    <font>
      <name val="Arial"/>
      <charset val="1"/>
      <family val="2"/>
      <sz val="11"/>
    </font>
    <font>
      <name val="Arial"/>
      <charset val="1"/>
      <family val="2"/>
      <sz val="11"/>
      <u val="single"/>
    </font>
    <font>
      <name val="Arial"/>
      <charset val="1"/>
      <family val="2"/>
      <color rgb="FF000000"/>
      <sz val="11"/>
    </font>
    <font>
      <name val="Arial"/>
      <charset val="1"/>
      <family val="2"/>
      <b val="1"/>
      <color rgb="FF000000"/>
      <sz val="12"/>
    </font>
    <font>
      <name val="Arial"/>
      <charset val="1"/>
      <family val="2"/>
      <b val="1"/>
      <color rgb="FF000000"/>
      <sz val="10"/>
    </font>
    <font>
      <name val="Arial"/>
      <charset val="1"/>
      <family val="2"/>
      <color rgb="FF000000"/>
      <sz val="10"/>
    </font>
    <font>
      <name val="Arial"/>
      <charset val="1"/>
      <family val="2"/>
      <b val="1"/>
      <color rgb="FF000000"/>
      <sz val="11"/>
    </font>
    <font>
      <name val="Calibri"/>
      <charset val="1"/>
      <family val="2"/>
      <color rgb="FF000000"/>
      <sz val="11"/>
    </font>
    <font>
      <name val="Arial"/>
      <family val="2"/>
      <b val="1"/>
      <sz val="14"/>
    </font>
    <font>
      <name val="Arial"/>
      <family val="2"/>
      <color indexed="8"/>
      <sz val="12"/>
    </font>
    <font>
      <name val="Arial"/>
      <family val="2"/>
      <color rgb="FF000000"/>
      <sz val="10"/>
    </font>
    <font>
      <name val="Arial"/>
      <family val="2"/>
      <sz val="14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1"/>
    </font>
    <font>
      <b val="1"/>
      <color rgb="00FFFFFF"/>
    </font>
  </fonts>
  <fills count="15">
    <fill>
      <patternFill/>
    </fill>
    <fill>
      <patternFill patternType="gray125"/>
    </fill>
    <fill>
      <patternFill patternType="solid">
        <fgColor rgb="FFFF6600"/>
        <bgColor rgb="FFFF9900"/>
      </patternFill>
    </fill>
    <fill>
      <patternFill patternType="solid">
        <fgColor rgb="FFFFFFFF"/>
        <bgColor rgb="FFF2F2F2"/>
      </patternFill>
    </fill>
    <fill>
      <patternFill patternType="solid">
        <fgColor rgb="FFDEE6EF"/>
        <bgColor rgb="FFE6E0EC"/>
      </patternFill>
    </fill>
    <fill>
      <patternFill patternType="solid">
        <fgColor rgb="FFD9FBEE"/>
        <bgColor rgb="FFF2F2F2"/>
      </patternFill>
    </fill>
    <fill>
      <patternFill patternType="solid">
        <fgColor rgb="FFC9211E"/>
        <bgColor rgb="FF993366"/>
      </patternFill>
    </fill>
    <fill>
      <patternFill patternType="solid">
        <fgColor rgb="FFFDEADA"/>
        <bgColor rgb="FFF2F2F2"/>
      </patternFill>
    </fill>
    <fill>
      <patternFill patternType="solid">
        <fgColor rgb="FFE6E0EC"/>
        <bgColor rgb="FFDEE6EF"/>
      </patternFill>
    </fill>
    <fill>
      <patternFill patternType="solid">
        <fgColor theme="0"/>
        <bgColor rgb="FF17B92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B050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indexed="26"/>
      </patternFill>
    </fill>
    <fill>
      <patternFill patternType="solid">
        <fgColor rgb="001F4E3D"/>
        <bgColor rgb="001F4E3D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4">
    <xf numFmtId="0" fontId="11" fillId="0" borderId="0"/>
    <xf numFmtId="9" fontId="11" fillId="0" borderId="0"/>
    <xf numFmtId="0" fontId="1" fillId="2" borderId="0"/>
    <xf numFmtId="41" fontId="11" fillId="0" borderId="0"/>
  </cellStyleXfs>
  <cellXfs count="193">
    <xf numFmtId="0" fontId="0" fillId="0" borderId="0" pivotButton="0" quotePrefix="0" xfId="0"/>
    <xf numFmtId="0" fontId="0" fillId="0" borderId="0" pivotButton="0" quotePrefix="0" xfId="0"/>
    <xf numFmtId="0" fontId="2" fillId="3" borderId="0" applyAlignment="1" pivotButton="0" quotePrefix="0" xfId="2">
      <alignment vertical="center"/>
    </xf>
    <xf numFmtId="0" fontId="4" fillId="4" borderId="1" applyAlignment="1" pivotButton="0" quotePrefix="0" xfId="2">
      <alignment horizontal="center" vertical="center" wrapText="1"/>
    </xf>
    <xf numFmtId="9" fontId="4" fillId="4" borderId="1" applyAlignment="1" pivotButton="0" quotePrefix="0" xfId="2">
      <alignment horizontal="center" vertical="center" wrapText="1"/>
    </xf>
    <xf numFmtId="0" fontId="4" fillId="5" borderId="1" applyAlignment="1" pivotButton="0" quotePrefix="0" xfId="2">
      <alignment horizontal="center" vertical="center" wrapText="1"/>
    </xf>
    <xf numFmtId="9" fontId="4" fillId="5" borderId="1" applyAlignment="1" pivotButton="0" quotePrefix="0" xfId="2">
      <alignment horizontal="center" vertical="center" wrapText="1"/>
    </xf>
    <xf numFmtId="9" fontId="11" fillId="0" borderId="1" applyAlignment="1" pivotButton="0" quotePrefix="0" xfId="1">
      <alignment horizontal="center" vertical="center"/>
    </xf>
    <xf numFmtId="0" fontId="4" fillId="6" borderId="1" applyAlignment="1" pivotButton="0" quotePrefix="0" xfId="2">
      <alignment horizontal="center" vertical="center" wrapText="1"/>
    </xf>
    <xf numFmtId="9" fontId="4" fillId="6" borderId="1" applyAlignment="1" pivotButton="0" quotePrefix="0" xfId="2">
      <alignment horizontal="center" vertical="center" wrapText="1"/>
    </xf>
    <xf numFmtId="0" fontId="4" fillId="5" borderId="2" applyAlignment="1" pivotButton="0" quotePrefix="0" xfId="2">
      <alignment horizontal="center" vertical="center" wrapText="1"/>
    </xf>
    <xf numFmtId="9" fontId="4" fillId="5" borderId="2" applyAlignment="1" pivotButton="0" quotePrefix="0" xfId="2">
      <alignment horizontal="center" vertical="center" wrapText="1"/>
    </xf>
    <xf numFmtId="0" fontId="4" fillId="7" borderId="1" applyAlignment="1" pivotButton="0" quotePrefix="0" xfId="2">
      <alignment horizontal="center" vertical="center" wrapText="1"/>
    </xf>
    <xf numFmtId="9" fontId="4" fillId="7" borderId="1" applyAlignment="1" pivotButton="0" quotePrefix="0" xfId="2">
      <alignment horizontal="center" vertical="center" wrapText="1"/>
    </xf>
    <xf numFmtId="0" fontId="6" fillId="7" borderId="1" applyAlignment="1" pivotButton="0" quotePrefix="0" xfId="2">
      <alignment horizontal="center" vertical="center" wrapText="1"/>
    </xf>
    <xf numFmtId="0" fontId="4" fillId="7" borderId="1" applyAlignment="1" pivotButton="0" quotePrefix="0" xfId="2">
      <alignment horizontal="center" vertical="center"/>
    </xf>
    <xf numFmtId="0" fontId="6" fillId="8" borderId="1" applyAlignment="1" pivotButton="0" quotePrefix="0" xfId="2">
      <alignment horizontal="center" vertical="center" wrapText="1"/>
    </xf>
    <xf numFmtId="0" fontId="4" fillId="8" borderId="1" applyAlignment="1" pivotButton="0" quotePrefix="0" xfId="2">
      <alignment horizontal="center" vertical="center" wrapText="1"/>
    </xf>
    <xf numFmtId="9" fontId="4" fillId="8" borderId="1" applyAlignment="1" pivotButton="0" quotePrefix="0" xfId="2">
      <alignment horizontal="center" vertical="center" wrapText="1"/>
    </xf>
    <xf numFmtId="9" fontId="11" fillId="0" borderId="2" applyAlignment="1" pivotButton="0" quotePrefix="0" xfId="1">
      <alignment horizontal="center" vertical="center"/>
    </xf>
    <xf numFmtId="9" fontId="0" fillId="0" borderId="1" applyAlignment="1" pivotButton="0" quotePrefix="0" xfId="1">
      <alignment horizontal="center" vertical="center"/>
    </xf>
    <xf numFmtId="0" fontId="3" fillId="9" borderId="1" applyAlignment="1" pivotButton="0" quotePrefix="0" xfId="2">
      <alignment horizontal="center" vertical="center" wrapText="1"/>
    </xf>
    <xf numFmtId="0" fontId="3" fillId="9" borderId="2" applyAlignment="1" pivotButton="0" quotePrefix="0" xfId="2">
      <alignment horizontal="center" vertical="center" wrapText="1"/>
    </xf>
    <xf numFmtId="0" fontId="0" fillId="10" borderId="0" pivotButton="0" quotePrefix="0" xfId="0"/>
    <xf numFmtId="0" fontId="0" fillId="12" borderId="0" pivotButton="0" quotePrefix="0" xfId="0"/>
    <xf numFmtId="0" fontId="8" fillId="12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/>
    </xf>
    <xf numFmtId="0" fontId="9" fillId="12" borderId="0" applyAlignment="1" pivotButton="0" quotePrefix="0" xfId="0">
      <alignment horizontal="center"/>
    </xf>
    <xf numFmtId="0" fontId="8" fillId="11" borderId="1" applyAlignment="1" pivotButton="0" quotePrefix="0" xfId="0">
      <alignment horizontal="center"/>
    </xf>
    <xf numFmtId="0" fontId="8" fillId="11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/>
    </xf>
    <xf numFmtId="0" fontId="8" fillId="11" borderId="5" applyAlignment="1" pivotButton="0" quotePrefix="0" xfId="0">
      <alignment horizontal="center" vertical="center"/>
    </xf>
    <xf numFmtId="0" fontId="8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vertical="center"/>
    </xf>
    <xf numFmtId="0" fontId="9" fillId="12" borderId="0" applyAlignment="1" pivotButton="0" quotePrefix="0" xfId="0">
      <alignment horizontal="center" vertical="top" wrapText="1"/>
    </xf>
    <xf numFmtId="0" fontId="9" fillId="12" borderId="3" applyAlignment="1" pivotButton="0" quotePrefix="0" xfId="0">
      <alignment horizontal="center" vertical="center" wrapText="1"/>
    </xf>
    <xf numFmtId="0" fontId="10" fillId="11" borderId="3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center" vertical="center"/>
    </xf>
    <xf numFmtId="0" fontId="8" fillId="12" borderId="1" pivotButton="0" quotePrefix="0" xfId="0"/>
    <xf numFmtId="0" fontId="8" fillId="12" borderId="1" applyAlignment="1" pivotButton="0" quotePrefix="0" xfId="0">
      <alignment horizontal="center"/>
    </xf>
    <xf numFmtId="0" fontId="9" fillId="12" borderId="0" applyAlignment="1" pivotButton="0" quotePrefix="0" xfId="0">
      <alignment horizontal="center" vertical="center"/>
    </xf>
    <xf numFmtId="0" fontId="9" fillId="12" borderId="1" pivotButton="0" quotePrefix="0" xfId="0"/>
    <xf numFmtId="0" fontId="9" fillId="12" borderId="1" pivotButton="0" quotePrefix="0" xfId="0"/>
    <xf numFmtId="1" fontId="9" fillId="12" borderId="1" applyAlignment="1" pivotButton="0" quotePrefix="0" xfId="0">
      <alignment horizontal="center"/>
    </xf>
    <xf numFmtId="0" fontId="10" fillId="11" borderId="1" applyAlignment="1" pivotButton="0" quotePrefix="0" xfId="0">
      <alignment horizontal="center" vertical="center" wrapText="1"/>
    </xf>
    <xf numFmtId="1" fontId="9" fillId="11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left"/>
    </xf>
    <xf numFmtId="1" fontId="9" fillId="12" borderId="1" applyAlignment="1" pivotButton="0" quotePrefix="0" xfId="0">
      <alignment horizontal="center" vertical="center"/>
    </xf>
    <xf numFmtId="9" fontId="9" fillId="11" borderId="1" applyAlignment="1" pivotButton="0" quotePrefix="0" xfId="1">
      <alignment horizontal="center" vertical="center"/>
    </xf>
    <xf numFmtId="0" fontId="8" fillId="10" borderId="0" pivotButton="0" quotePrefix="0" xfId="0"/>
    <xf numFmtId="0" fontId="8" fillId="10" borderId="0" applyAlignment="1" pivotButton="0" quotePrefix="0" xfId="0">
      <alignment horizontal="center" vertical="center"/>
    </xf>
    <xf numFmtId="0" fontId="8" fillId="12" borderId="7" pivotButton="0" quotePrefix="0" xfId="0"/>
    <xf numFmtId="0" fontId="9" fillId="12" borderId="3" applyAlignment="1" pivotButton="0" quotePrefix="0" xfId="0">
      <alignment horizontal="left" vertical="center" wrapText="1"/>
    </xf>
    <xf numFmtId="1" fontId="9" fillId="10" borderId="0" applyAlignment="1" pivotButton="0" quotePrefix="0" xfId="0">
      <alignment horizontal="center"/>
    </xf>
    <xf numFmtId="1" fontId="9" fillId="12" borderId="7" applyAlignment="1" pivotButton="0" quotePrefix="0" xfId="0">
      <alignment horizontal="center"/>
    </xf>
    <xf numFmtId="1" fontId="9" fillId="10" borderId="0" applyAlignment="1" pivotButton="0" quotePrefix="0" xfId="0">
      <alignment horizontal="center" vertical="center"/>
    </xf>
    <xf numFmtId="0" fontId="9" fillId="12" borderId="7" applyAlignment="1" pivotButton="0" quotePrefix="0" xfId="0">
      <alignment horizontal="center" vertical="center"/>
    </xf>
    <xf numFmtId="0" fontId="13" fillId="13" borderId="8" applyAlignment="1" pivotButton="0" quotePrefix="0" xfId="0">
      <alignment horizontal="center" vertical="center"/>
    </xf>
    <xf numFmtId="0" fontId="9" fillId="12" borderId="1" applyAlignment="1" pivotButton="0" quotePrefix="0" xfId="0">
      <alignment wrapText="1"/>
    </xf>
    <xf numFmtId="0" fontId="9" fillId="12" borderId="1" applyAlignment="1" pivotButton="0" quotePrefix="0" xfId="0">
      <alignment horizontal="left" vertical="center"/>
    </xf>
    <xf numFmtId="0" fontId="9" fillId="12" borderId="1" applyAlignment="1" pivotButton="0" quotePrefix="0" xfId="0">
      <alignment horizontal="left" wrapText="1"/>
    </xf>
    <xf numFmtId="1" fontId="9" fillId="12" borderId="1" applyAlignment="1" pivotButton="0" quotePrefix="1" xfId="0">
      <alignment horizontal="center" vertical="center"/>
    </xf>
    <xf numFmtId="0" fontId="0" fillId="10" borderId="0" applyAlignment="1" pivotButton="0" quotePrefix="0" xfId="0">
      <alignment horizontal="center" vertical="center" wrapText="1"/>
    </xf>
    <xf numFmtId="9" fontId="9" fillId="11" borderId="1" applyAlignment="1" pivotButton="0" quotePrefix="0" xfId="0">
      <alignment horizontal="center" vertical="center"/>
    </xf>
    <xf numFmtId="9" fontId="9" fillId="11" borderId="1" applyAlignment="1" pivotButton="0" quotePrefix="0" xfId="1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9" fontId="9" fillId="11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/>
    </xf>
    <xf numFmtId="1" fontId="9" fillId="12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9" fontId="11" fillId="0" borderId="1" applyAlignment="1" pivotButton="0" quotePrefix="0" xfId="1">
      <alignment horizontal="center" vertical="center"/>
    </xf>
    <xf numFmtId="9" fontId="2" fillId="3" borderId="1" applyAlignment="1" pivotButton="0" quotePrefix="0" xfId="2">
      <alignment horizontal="center" vertical="center" wrapText="1"/>
    </xf>
    <xf numFmtId="9" fontId="11" fillId="0" borderId="1" applyAlignment="1" pivotButton="0" quotePrefix="0" xfId="1">
      <alignment horizontal="center" vertical="center"/>
    </xf>
    <xf numFmtId="9" fontId="4" fillId="4" borderId="1" applyAlignment="1" pivotButton="0" quotePrefix="0" xfId="2">
      <alignment horizontal="center" vertical="center" wrapText="1"/>
    </xf>
    <xf numFmtId="9" fontId="4" fillId="5" borderId="1" applyAlignment="1" pivotButton="0" quotePrefix="0" xfId="2">
      <alignment horizontal="center" vertical="center" wrapText="1"/>
    </xf>
    <xf numFmtId="0" fontId="14" fillId="10" borderId="0" applyAlignment="1" pivotButton="0" quotePrefix="0" xfId="0">
      <alignment vertical="center"/>
    </xf>
    <xf numFmtId="0" fontId="9" fillId="12" borderId="0" applyAlignment="1" pivotButton="0" quotePrefix="0" xfId="0">
      <alignment horizontal="left" vertical="center" wrapText="1"/>
    </xf>
    <xf numFmtId="0" fontId="9" fillId="12" borderId="0" applyAlignment="1" pivotButton="0" quotePrefix="0" xfId="0">
      <alignment wrapText="1"/>
    </xf>
    <xf numFmtId="0" fontId="10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/>
    </xf>
    <xf numFmtId="9" fontId="9" fillId="11" borderId="0" applyAlignment="1" pivotButton="0" quotePrefix="0" xfId="1">
      <alignment horizontal="center" vertic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wrapText="1"/>
    </xf>
    <xf numFmtId="1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9" fontId="9" fillId="0" borderId="0" applyAlignment="1" pivotButton="0" quotePrefix="0" xfId="1">
      <alignment horizontal="center" vertical="center"/>
    </xf>
    <xf numFmtId="0" fontId="0" fillId="0" borderId="0" pivotButton="0" quotePrefix="0" xfId="0"/>
    <xf numFmtId="1" fontId="9" fillId="12" borderId="0" applyAlignment="1" pivotButton="0" quotePrefix="0" xfId="0">
      <alignment horizontal="center"/>
    </xf>
    <xf numFmtId="0" fontId="16" fillId="12" borderId="1" pivotButton="0" quotePrefix="0" xfId="0"/>
    <xf numFmtId="0" fontId="17" fillId="11" borderId="1" applyAlignment="1" pivotButton="0" quotePrefix="0" xfId="0">
      <alignment horizontal="left" vertical="center" wrapText="1"/>
    </xf>
    <xf numFmtId="0" fontId="16" fillId="12" borderId="1" applyAlignment="1" pivotButton="0" quotePrefix="0" xfId="0">
      <alignment horizontal="left" wrapText="1"/>
    </xf>
    <xf numFmtId="0" fontId="16" fillId="12" borderId="1" applyAlignment="1" pivotButton="0" quotePrefix="0" xfId="0">
      <alignment wrapText="1"/>
    </xf>
    <xf numFmtId="0" fontId="16" fillId="12" borderId="1" applyAlignment="1" pivotButton="0" quotePrefix="0" xfId="0">
      <alignment horizontal="left" vertical="top" wrapText="1"/>
    </xf>
    <xf numFmtId="0" fontId="16" fillId="12" borderId="1" applyAlignment="1" pivotButton="0" quotePrefix="0" xfId="0">
      <alignment vertical="top" wrapText="1"/>
    </xf>
    <xf numFmtId="0" fontId="17" fillId="11" borderId="1" applyAlignment="1" pivotButton="0" quotePrefix="0" xfId="0">
      <alignment horizontal="left" vertical="top" wrapText="1"/>
    </xf>
    <xf numFmtId="0" fontId="17" fillId="11" borderId="1" applyAlignment="1" pivotButton="0" quotePrefix="0" xfId="0">
      <alignment vertical="center" wrapText="1"/>
    </xf>
    <xf numFmtId="0" fontId="14" fillId="10" borderId="0" applyAlignment="1" pivotButton="0" quotePrefix="0" xfId="0">
      <alignment horizontal="center" vertical="center" wrapText="1"/>
    </xf>
    <xf numFmtId="9" fontId="11" fillId="0" borderId="0" pivotButton="0" quotePrefix="0" xfId="1"/>
    <xf numFmtId="9" fontId="11" fillId="0" borderId="1" applyAlignment="1" pivotButton="0" quotePrefix="0" xfId="3">
      <alignment horizontal="center" vertical="center"/>
    </xf>
    <xf numFmtId="9" fontId="0" fillId="0" borderId="1" applyAlignment="1" pivotButton="0" quotePrefix="0" xfId="3">
      <alignment horizontal="center" vertical="center"/>
    </xf>
    <xf numFmtId="9" fontId="9" fillId="12" borderId="1" applyAlignment="1" pivotButton="0" quotePrefix="0" xfId="0">
      <alignment horizontal="center"/>
    </xf>
    <xf numFmtId="9" fontId="4" fillId="4" borderId="1" applyAlignment="1" pivotButton="0" quotePrefix="0" xfId="2">
      <alignment horizontal="center" vertical="center" wrapText="1"/>
    </xf>
    <xf numFmtId="9" fontId="4" fillId="5" borderId="1" applyAlignment="1" pivotButton="0" quotePrefix="0" xfId="2">
      <alignment horizontal="center" vertical="center" wrapText="1"/>
    </xf>
    <xf numFmtId="1" fontId="9" fillId="12" borderId="1" applyAlignment="1" pivotButton="0" quotePrefix="0" xfId="0">
      <alignment horizontal="center" vertical="center"/>
    </xf>
    <xf numFmtId="9" fontId="11" fillId="0" borderId="10" applyAlignment="1" pivotButton="0" quotePrefix="0" xfId="1">
      <alignment horizontal="center" vertical="center"/>
    </xf>
    <xf numFmtId="9" fontId="11" fillId="0" borderId="4" applyAlignment="1" pivotButton="0" quotePrefix="0" xfId="1">
      <alignment horizontal="center" vertical="center"/>
    </xf>
    <xf numFmtId="9" fontId="11" fillId="0" borderId="12" applyAlignment="1" pivotButton="0" quotePrefix="0" xfId="1">
      <alignment horizontal="center" vertical="center"/>
    </xf>
    <xf numFmtId="9" fontId="11" fillId="0" borderId="3" applyAlignment="1" pivotButton="0" quotePrefix="0" xfId="1">
      <alignment horizontal="center" vertical="center"/>
    </xf>
    <xf numFmtId="9" fontId="11" fillId="0" borderId="7" applyAlignment="1" pivotButton="0" quotePrefix="0" xfId="1">
      <alignment horizontal="center" vertical="center"/>
    </xf>
    <xf numFmtId="9" fontId="2" fillId="3" borderId="3" applyAlignment="1" pivotButton="0" quotePrefix="0" xfId="2">
      <alignment horizontal="center" vertical="center" wrapText="1"/>
    </xf>
    <xf numFmtId="9" fontId="2" fillId="3" borderId="4" applyAlignment="1" pivotButton="0" quotePrefix="0" xfId="2">
      <alignment horizontal="center" vertical="center" wrapText="1"/>
    </xf>
    <xf numFmtId="9" fontId="2" fillId="3" borderId="7" applyAlignment="1" pivotButton="0" quotePrefix="0" xfId="2">
      <alignment horizontal="center" vertical="center" wrapText="1"/>
    </xf>
    <xf numFmtId="0" fontId="12" fillId="3" borderId="1" applyAlignment="1" pivotButton="0" quotePrefix="0" xfId="2">
      <alignment horizontal="center" vertical="center" wrapText="1"/>
    </xf>
    <xf numFmtId="0" fontId="3" fillId="9" borderId="1" applyAlignment="1" pivotButton="0" quotePrefix="0" xfId="2">
      <alignment horizontal="center" vertical="center" wrapText="1"/>
    </xf>
    <xf numFmtId="9" fontId="4" fillId="4" borderId="1" applyAlignment="1" pivotButton="0" quotePrefix="0" xfId="2">
      <alignment horizontal="center" vertical="center" wrapText="1"/>
    </xf>
    <xf numFmtId="9" fontId="4" fillId="5" borderId="1" applyAlignment="1" pivotButton="0" quotePrefix="0" xfId="2">
      <alignment horizontal="center" vertical="center" wrapText="1"/>
    </xf>
    <xf numFmtId="0" fontId="4" fillId="5" borderId="1" applyAlignment="1" pivotButton="0" quotePrefix="0" xfId="2">
      <alignment horizontal="center" vertical="center" wrapText="1"/>
    </xf>
    <xf numFmtId="0" fontId="12" fillId="3" borderId="10" applyAlignment="1" pivotButton="0" quotePrefix="0" xfId="2">
      <alignment horizontal="left" vertical="center" wrapText="1"/>
    </xf>
    <xf numFmtId="0" fontId="12" fillId="3" borderId="11" applyAlignment="1" pivotButton="0" quotePrefix="0" xfId="2">
      <alignment horizontal="left" vertical="center" wrapText="1"/>
    </xf>
    <xf numFmtId="0" fontId="12" fillId="3" borderId="12" applyAlignment="1" pivotButton="0" quotePrefix="0" xfId="2">
      <alignment horizontal="left" vertical="center" wrapText="1"/>
    </xf>
    <xf numFmtId="0" fontId="4" fillId="4" borderId="1" applyAlignment="1" pivotButton="0" quotePrefix="0" xfId="2">
      <alignment horizontal="center" vertical="center" wrapText="1"/>
    </xf>
    <xf numFmtId="9" fontId="4" fillId="6" borderId="1" applyAlignment="1" pivotButton="0" quotePrefix="0" xfId="2">
      <alignment horizontal="center" vertical="center" wrapText="1"/>
    </xf>
    <xf numFmtId="9" fontId="4" fillId="7" borderId="1" applyAlignment="1" pivotButton="0" quotePrefix="0" xfId="2">
      <alignment horizontal="center" vertical="center" wrapText="1"/>
    </xf>
    <xf numFmtId="9" fontId="4" fillId="8" borderId="1" applyAlignment="1" pivotButton="0" quotePrefix="0" xfId="2">
      <alignment horizontal="center" vertical="center" wrapText="1"/>
    </xf>
    <xf numFmtId="9" fontId="11" fillId="0" borderId="10" applyAlignment="1" pivotButton="0" quotePrefix="0" xfId="1">
      <alignment horizontal="center" vertical="center"/>
    </xf>
    <xf numFmtId="9" fontId="11" fillId="0" borderId="4" applyAlignment="1" pivotButton="0" quotePrefix="0" xfId="1">
      <alignment horizontal="center" vertical="center"/>
    </xf>
    <xf numFmtId="9" fontId="11" fillId="0" borderId="12" applyAlignment="1" pivotButton="0" quotePrefix="0" xfId="1">
      <alignment horizontal="center" vertical="center"/>
    </xf>
    <xf numFmtId="9" fontId="0" fillId="0" borderId="10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9" fontId="0" fillId="0" borderId="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9" fontId="11" fillId="0" borderId="11" applyAlignment="1" pivotButton="0" quotePrefix="0" xfId="1">
      <alignment horizontal="center" vertical="center"/>
    </xf>
    <xf numFmtId="9" fontId="0" fillId="0" borderId="10" applyAlignment="1" pivotButton="0" quotePrefix="0" xfId="1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center" vertical="center"/>
    </xf>
    <xf numFmtId="9" fontId="9" fillId="12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14" fillId="10" borderId="10" applyAlignment="1" pivotButton="0" quotePrefix="0" xfId="0">
      <alignment horizontal="center" vertical="center" wrapText="1"/>
    </xf>
    <xf numFmtId="0" fontId="14" fillId="10" borderId="12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top" wrapText="1"/>
    </xf>
    <xf numFmtId="0" fontId="8" fillId="11" borderId="1" applyAlignment="1" pivotButton="0" quotePrefix="0" xfId="0">
      <alignment horizontal="center"/>
    </xf>
    <xf numFmtId="1" fontId="9" fillId="12" borderId="1" applyAlignment="1" pivotButton="0" quotePrefix="0" xfId="0">
      <alignment horizontal="center" vertical="center"/>
    </xf>
    <xf numFmtId="9" fontId="9" fillId="11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1" fontId="9" fillId="12" borderId="10" applyAlignment="1" pivotButton="0" quotePrefix="0" xfId="0">
      <alignment horizontal="center" vertical="center"/>
    </xf>
    <xf numFmtId="1" fontId="9" fillId="12" borderId="12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/>
    </xf>
    <xf numFmtId="0" fontId="9" fillId="12" borderId="1" applyAlignment="1" pivotButton="0" quotePrefix="0" xfId="0">
      <alignment horizontal="left"/>
    </xf>
    <xf numFmtId="9" fontId="14" fillId="12" borderId="6" applyAlignment="1" pivotButton="0" quotePrefix="0" xfId="0">
      <alignment horizontal="center" vertical="center" wrapText="1"/>
    </xf>
    <xf numFmtId="0" fontId="14" fillId="10" borderId="9" applyAlignment="1" pivotButton="0" quotePrefix="0" xfId="0">
      <alignment horizontal="center" vertical="center" wrapText="1"/>
    </xf>
    <xf numFmtId="164" fontId="11" fillId="10" borderId="0" applyAlignment="1" pivotButton="0" quotePrefix="0" xfId="3">
      <alignment horizontal="center" vertical="center"/>
    </xf>
    <xf numFmtId="0" fontId="8" fillId="12" borderId="9" applyAlignment="1" pivotButton="0" quotePrefix="0" xfId="0">
      <alignment horizontal="center" vertical="center" wrapText="1"/>
    </xf>
    <xf numFmtId="0" fontId="0" fillId="10" borderId="9" pivotButton="0" quotePrefix="0" xfId="0"/>
    <xf numFmtId="1" fontId="9" fillId="12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9" fontId="14" fillId="12" borderId="1" applyAlignment="1" pivotButton="0" quotePrefix="0" xfId="0">
      <alignment horizontal="center" vertical="center" wrapText="1"/>
    </xf>
    <xf numFmtId="1" fontId="9" fillId="11" borderId="1" applyAlignment="1" pivotButton="0" quotePrefix="0" xfId="0">
      <alignment horizontal="center" vertical="center"/>
    </xf>
    <xf numFmtId="0" fontId="0" fillId="10" borderId="6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0" fillId="0" borderId="7" pivotButton="0" quotePrefix="0" xfId="0"/>
    <xf numFmtId="0" fontId="12" fillId="3" borderId="9" applyAlignment="1" pivotButton="0" quotePrefix="0" xfId="2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  <xf numFmtId="9" fontId="11" fillId="0" borderId="9" applyAlignment="1" pivotButton="0" quotePrefix="0" xfId="1">
      <alignment horizontal="center" vertical="center"/>
    </xf>
    <xf numFmtId="9" fontId="0" fillId="0" borderId="9" applyAlignment="1" pivotButton="0" quotePrefix="0" xfId="0">
      <alignment horizontal="center" vertical="center"/>
    </xf>
    <xf numFmtId="9" fontId="0" fillId="0" borderId="9" applyAlignment="1" pivotButton="0" quotePrefix="0" xfId="1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0" fillId="0" borderId="5" pivotButton="0" quotePrefix="0" xfId="0"/>
    <xf numFmtId="0" fontId="0" fillId="0" borderId="19" pivotButton="0" quotePrefix="0" xfId="0"/>
    <xf numFmtId="0" fontId="0" fillId="0" borderId="20" pivotButton="0" quotePrefix="0" xfId="0"/>
    <xf numFmtId="1" fontId="9" fillId="12" borderId="9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164" fontId="11" fillId="10" borderId="0" applyAlignment="1" pivotButton="0" quotePrefix="0" xfId="3">
      <alignment horizontal="center" vertical="center"/>
    </xf>
    <xf numFmtId="0" fontId="18" fillId="14" borderId="1" applyAlignment="1" pivotButton="0" quotePrefix="0" xfId="2">
      <alignment horizontal="center" vertical="center" wrapText="1"/>
    </xf>
    <xf numFmtId="0" fontId="18" fillId="14" borderId="1" applyAlignment="1" pivotButton="0" quotePrefix="0" xfId="0">
      <alignment horizontal="center" vertical="center"/>
    </xf>
  </cellXfs>
  <cellStyles count="4">
    <cellStyle name="Normal" xfId="0" builtinId="0"/>
    <cellStyle name="Porcentaje" xfId="1" builtinId="5"/>
    <cellStyle name="Excel Built-in Explanatory Text" xfId="2"/>
    <cellStyle name="Millares [0]" xfId="3" builtinId="6"/>
  </cellStyles>
  <dxfs count="3">
    <dxf>
      <font>
        <condense val="0"/>
        <color indexed="8"/>
        <extend val="0"/>
        <sz val="11"/>
      </font>
      <fill>
        <patternFill patternType="solid">
          <fgColor indexed="16"/>
          <bgColor indexed="10"/>
        </patternFill>
      </fill>
    </dxf>
    <dxf>
      <font>
        <condense val="0"/>
        <color indexed="8"/>
        <extend val="0"/>
        <sz val="11"/>
      </font>
      <fill>
        <patternFill patternType="solid">
          <fgColor indexed="58"/>
          <bgColor indexed="17"/>
        </patternFill>
      </fill>
    </dxf>
    <dxf>
      <font>
        <condense val="0"/>
        <color indexed="8"/>
        <extend val="0"/>
        <sz val="11"/>
      </font>
      <fill>
        <patternFill patternType="solid">
          <fgColor indexed="58"/>
          <bgColor indexed="1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9900"/>
      <rgbColor rgb="FF000080"/>
      <rgbColor rgb="FF808000"/>
      <rgbColor rgb="FF800080"/>
      <rgbColor rgb="FF17B926"/>
      <rgbColor rgb="FFC0C0C0"/>
      <rgbColor rgb="FF8B8B8B"/>
      <rgbColor rgb="FF71A6DA"/>
      <rgbColor rgb="FF993366"/>
      <rgbColor rgb="FFFDEADA"/>
      <rgbColor rgb="FFD9FB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6EF"/>
      <rgbColor rgb="FFF2F2F2"/>
      <rgbColor rgb="FFFFFF99"/>
      <rgbColor rgb="FF99CCFF"/>
      <rgbColor rgb="FFFF99CC"/>
      <rgbColor rgb="FFCC99FF"/>
      <rgbColor rgb="FFE6E0EC"/>
      <rgbColor rgb="FF3366FF"/>
      <rgbColor rgb="FF549ADA"/>
      <rgbColor rgb="FF99CC00"/>
      <rgbColor rgb="FFFFCC00"/>
      <rgbColor rgb="FFFF9900"/>
      <rgbColor rgb="FFFF6600"/>
      <rgbColor rgb="FF595959"/>
      <rgbColor rgb="FF969696"/>
      <rgbColor rgb="FF003366"/>
      <rgbColor rgb="FF00B050"/>
      <rgbColor rgb="FF003300"/>
      <rgbColor rgb="FF333300"/>
      <rgbColor rgb="FFC9211E"/>
      <rgbColor rgb="FF993366"/>
      <rgbColor rgb="FF333399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externalLink" Target="/xl/externalLinks/externalLink1.xml" Id="rId15"/><Relationship Type="http://schemas.openxmlformats.org/officeDocument/2006/relationships/externalLink" Target="/xl/externalLinks/externalLink2.xml" Id="rId16"/><Relationship Type="http://schemas.openxmlformats.org/officeDocument/2006/relationships/externalLink" Target="/xl/externalLinks/externalLink3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97">
                <a:solidFill>
                  <a:srgbClr val="F2F2F2"/>
                </a:solidFill>
                <a:latin typeface="Calibri"/>
              </a:defRPr>
            </a:pPr>
            <a:r>
              <a:rPr lang="es-CO" sz="1800" b="1" strike="noStrike" spc="97">
                <a:solidFill>
                  <a:srgbClr val="F2F2F2"/>
                </a:solidFill>
                <a:latin typeface="Calibri"/>
              </a:rPr>
              <a:t xml:space="preserve">TASA DE ENFERMEDAD LABORAL
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'Tasa de EL'!$B$13:$C$13</f>
              <strCache>
                <ptCount val="1"/>
                <pt idx="0">
                  <v>0%</v>
                </pt>
              </strCache>
            </strRef>
          </tx>
          <spPr>
            <a:gradFill xmlns:a="http://schemas.openxmlformats.org/drawingml/2006/main">
              <a:gsLst>
                <a:gs pos="0">
                  <a:srgbClr val="71A6DA"/>
                </a:gs>
                <a:gs pos="100000">
                  <a:srgbClr val="549ADA"/>
                </a:gs>
              </a:gsLst>
              <a:lin ang="5400000"/>
            </a:gra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rgbClr val="00B050"/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D9D9D9"/>
                      </a:solidFill>
                      <a:latin typeface="Calibri"/>
                    </a:defRPr>
                  </a:pPr>
                  <a:r>
                    <a:t>None</a:t>
                  </a:r>
                  <a:endParaRPr lang="es-CO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D9D9D9"/>
                    </a:solidFill>
                    <a:latin typeface="Calibri"/>
                  </a:defRPr>
                </a:pPr>
                <a:r>
                  <a:t>None</a:t>
                </a:r>
                <a:endParaRPr lang="es-CO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'Tasa de EL'!$A$13</f>
              <strCache>
                <ptCount val="1"/>
                <pt idx="0">
                  <v>Tasa de enfermedad laboral</v>
                </pt>
              </strCache>
            </strRef>
          </cat>
          <val>
            <numRef>
              <f>'Tasa de EL'!$B$13</f>
              <numCache>
                <formatCode>0%</formatCode>
                <ptCount val="1"/>
                <pt idx="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-25"/>
        <axId val="293628928"/>
        <axId val="293844096"/>
      </barChart>
      <catAx>
        <axId val="2936289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12600">
            <a:solidFill>
              <a:srgbClr val="F2F2F2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 strike="noStrike" spc="-1">
                <a:solidFill>
                  <a:srgbClr val="D9D9D9"/>
                </a:solidFill>
                <a:latin typeface="Calibri"/>
              </a:defRPr>
            </a:pPr>
            <a:r>
              <a:t>None</a:t>
            </a:r>
            <a:endParaRPr lang="es-CO"/>
          </a:p>
        </txPr>
        <crossAx val="293844096"/>
        <crosses val="autoZero"/>
        <auto val="1"/>
        <lblAlgn val="ctr"/>
        <lblOffset val="100"/>
        <noMultiLvlLbl val="1"/>
      </catAx>
      <valAx>
        <axId val="293844096"/>
        <scaling>
          <orientation val="minMax"/>
        </scaling>
        <delete val="1"/>
        <axPos val="l"/>
        <numFmt formatCode="0%" sourceLinked="0"/>
        <majorTickMark val="none"/>
        <minorTickMark val="none"/>
        <tickLblPos val="nextTo"/>
        <crossAx val="293628928"/>
        <crosses val="autoZero"/>
        <crossBetween val="between"/>
      </valAx>
    </plotArea>
    <plotVisOnly val="1"/>
    <dispBlanksAs val="gap"/>
  </chart>
  <spPr>
    <a:gradFill xmlns:a="http://schemas.openxmlformats.org/drawingml/2006/main">
      <a:gsLst>
        <a:gs pos="0">
          <a:srgbClr val="595959"/>
        </a:gs>
        <a:gs pos="100000">
          <a:srgbClr val="262626"/>
        </a:gs>
      </a:gsLst>
      <a:path path="circle"/>
    </a:gradFill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97">
                <a:solidFill>
                  <a:srgbClr val="F2F2F2"/>
                </a:solidFill>
                <a:latin typeface="Calibri"/>
              </a:defRPr>
            </a:pPr>
            <a:r>
              <a:rPr lang="es-CO" sz="1800" b="1" strike="noStrike" spc="97">
                <a:solidFill>
                  <a:srgbClr val="F2F2F2"/>
                </a:solidFill>
                <a:latin typeface="Calibri"/>
              </a:rPr>
              <a:t xml:space="preserve">ÍNDICE DE INCIDENCIA DE ACCIDENTE DE TRABAJO
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524615492661001"/>
          <y val="0.296815286624204"/>
          <w val="0.942200997261044"/>
          <h val="0.601486199575372"/>
        </manualLayout>
      </layout>
      <barChart>
        <barDir val="col"/>
        <grouping val="clustered"/>
        <varyColors val="0"/>
        <ser>
          <idx val="0"/>
          <order val="0"/>
          <tx>
            <strRef>
              <f>'Índice de incidencia AT'!$B$13:$C$13</f>
              <strCache>
                <ptCount val="1"/>
                <pt idx="0">
                  <v>7143%</v>
                </pt>
              </strCache>
            </strRef>
          </tx>
          <spPr>
            <a:solidFill xmlns:a="http://schemas.openxmlformats.org/drawingml/2006/main">
              <a:srgbClr val="00B05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D9D9D9"/>
                    </a:solidFill>
                    <a:latin typeface="Calibri"/>
                  </a:defRPr>
                </a:pPr>
                <a:r>
                  <a:t>None</a:t>
                </a:r>
                <a:endParaRPr lang="es-CO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'Índice de incidencia AT'!$A$13</f>
              <strCache>
                <ptCount val="1"/>
                <pt idx="0">
                  <v>Índice de incidencia de accidente de trabajo</v>
                </pt>
              </strCache>
            </strRef>
          </cat>
          <val>
            <numRef>
              <f>'Índice de incidencia AT'!$B$13</f>
              <numCache>
                <formatCode>0%</formatCode>
                <ptCount val="1"/>
                <pt idx="0">
                  <v>71.42857142857143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-25"/>
        <axId val="296094336"/>
        <axId val="296350464"/>
      </barChart>
      <catAx>
        <axId val="2960943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12600">
            <a:solidFill>
              <a:srgbClr val="F2F2F2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 strike="noStrike" spc="-1">
                <a:solidFill>
                  <a:srgbClr val="D9D9D9"/>
                </a:solidFill>
                <a:latin typeface="Calibri"/>
              </a:defRPr>
            </a:pPr>
            <a:r>
              <a:t>None</a:t>
            </a:r>
            <a:endParaRPr lang="es-CO"/>
          </a:p>
        </txPr>
        <crossAx val="296350464"/>
        <crosses val="autoZero"/>
        <auto val="1"/>
        <lblAlgn val="ctr"/>
        <lblOffset val="100"/>
        <noMultiLvlLbl val="1"/>
      </catAx>
      <valAx>
        <axId val="296350464"/>
        <scaling>
          <orientation val="minMax"/>
        </scaling>
        <delete val="1"/>
        <axPos val="l"/>
        <numFmt formatCode="0%" sourceLinked="0"/>
        <majorTickMark val="none"/>
        <minorTickMark val="none"/>
        <tickLblPos val="nextTo"/>
        <crossAx val="296094336"/>
        <crosses val="autoZero"/>
        <crossBetween val="between"/>
      </valAx>
    </plotArea>
    <plotVisOnly val="1"/>
    <dispBlanksAs val="gap"/>
  </chart>
  <spPr>
    <a:gradFill xmlns:a="http://schemas.openxmlformats.org/drawingml/2006/main">
      <a:gsLst>
        <a:gs pos="0">
          <a:srgbClr val="595959"/>
        </a:gs>
        <a:gs pos="100000">
          <a:srgbClr val="262626"/>
        </a:gs>
      </a:gsLst>
      <a:path path="circle"/>
    </a:gradFill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600" b="1" strike="noStrike" spc="97">
                <a:solidFill>
                  <a:srgbClr val="F2F2F2"/>
                </a:solidFill>
                <a:latin typeface="Calibri"/>
              </a:defRPr>
            </a:pPr>
            <a:r>
              <a:rPr lang="es-CO" sz="1600" b="1" strike="noStrike" spc="97">
                <a:solidFill>
                  <a:srgbClr val="F2F2F2"/>
                </a:solidFill>
                <a:latin typeface="Calibri"/>
              </a:rPr>
              <a:t xml:space="preserve">ÍNDICE DE FRECUENCIA DE ACCIDENTES DE TRABAJO CON INCAPACIDAD
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rgbClr val="00B05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 strike="noStrike" spc="-1">
                    <a:solidFill>
                      <a:srgbClr val="D9D9D9"/>
                    </a:solidFill>
                    <a:latin typeface="Calibri"/>
                  </a:defRPr>
                </a:pPr>
                <a:r>
                  <a:t>None</a:t>
                </a:r>
                <a:endParaRPr lang="es-CO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'I.F.A.T con incapacidad'!$B$8:$M$8</f>
              <strCache>
                <ptCount val="12"/>
                <pt idx="0">
                  <v xml:space="preserve">ENERO </v>
                </pt>
                <pt idx="1">
                  <v>FEBRERO</v>
                </pt>
                <pt idx="2">
                  <v>MARZO</v>
                </pt>
                <pt idx="3">
                  <v>ABRIL</v>
                </pt>
                <pt idx="4">
                  <v>MAYO</v>
                </pt>
                <pt idx="5">
                  <v>JUNIO</v>
                </pt>
                <pt idx="6">
                  <v>JULIO</v>
                </pt>
                <pt idx="7">
                  <v>AGOSTO</v>
                </pt>
                <pt idx="8">
                  <v>SEPTIEMBRE</v>
                </pt>
                <pt idx="9">
                  <v>OCTUBRE</v>
                </pt>
                <pt idx="10">
                  <v>NOVIEMBRE</v>
                </pt>
                <pt idx="11">
                  <v>DICIEMBRE</v>
                </pt>
              </strCache>
            </strRef>
          </cat>
          <val>
            <numRef>
              <f>'I.F.A.T con incapacidad'!$B$13:$M$13</f>
              <numCache>
                <formatCode>0%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2.298850574712644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-25"/>
        <axId val="297995648"/>
        <axId val="303556864"/>
      </barChart>
      <catAx>
        <axId val="29799564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12600">
            <a:solidFill>
              <a:srgbClr val="F2F2F2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 strike="noStrike" spc="-1">
                <a:solidFill>
                  <a:srgbClr val="D9D9D9"/>
                </a:solidFill>
                <a:latin typeface="Calibri"/>
              </a:defRPr>
            </a:pPr>
            <a:r>
              <a:t>None</a:t>
            </a:r>
            <a:endParaRPr lang="es-CO"/>
          </a:p>
        </txPr>
        <crossAx val="303556864"/>
        <crosses val="autoZero"/>
        <auto val="1"/>
        <lblAlgn val="ctr"/>
        <lblOffset val="100"/>
        <noMultiLvlLbl val="1"/>
      </catAx>
      <valAx>
        <axId val="303556864"/>
        <scaling>
          <orientation val="minMax"/>
        </scaling>
        <delete val="1"/>
        <axPos val="l"/>
        <numFmt formatCode="0" sourceLinked="0"/>
        <majorTickMark val="none"/>
        <minorTickMark val="none"/>
        <tickLblPos val="nextTo"/>
        <crossAx val="297995648"/>
        <crosses val="autoZero"/>
        <crossBetween val="between"/>
      </valAx>
    </plotArea>
    <plotVisOnly val="1"/>
    <dispBlanksAs val="gap"/>
  </chart>
  <spPr>
    <a:gradFill xmlns:a="http://schemas.openxmlformats.org/drawingml/2006/main">
      <a:gsLst>
        <a:gs pos="0">
          <a:srgbClr val="595959"/>
        </a:gs>
        <a:gs pos="100000">
          <a:srgbClr val="262626"/>
        </a:gs>
      </a:gsLst>
      <a:path path="circle"/>
    </a:gradFill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600" b="1" strike="noStrike" spc="97">
                <a:solidFill>
                  <a:srgbClr val="F2F2F2"/>
                </a:solidFill>
                <a:latin typeface="Calibri"/>
              </a:defRPr>
            </a:pPr>
            <a:r>
              <a:rPr lang="es-CO" sz="1600" b="1" strike="noStrike" spc="97">
                <a:solidFill>
                  <a:srgbClr val="F2F2F2"/>
                </a:solidFill>
                <a:latin typeface="Calibri"/>
              </a:rPr>
              <a:t xml:space="preserve">ÍNDICE DE FRECUENCIA DE ENFERMEDADES LABORALES CON INCAPACIDAD
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rgbClr val="00B05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 strike="noStrike" spc="-1">
                    <a:solidFill>
                      <a:srgbClr val="D9D9D9"/>
                    </a:solidFill>
                    <a:latin typeface="Calibri"/>
                  </a:defRPr>
                </a:pPr>
                <a:r>
                  <a:t>None</a:t>
                </a:r>
                <a:endParaRPr lang="es-CO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'I.F.E.L con incapacidad '!$B$8:$M$8</f>
              <strCache>
                <ptCount val="12"/>
                <pt idx="0">
                  <v xml:space="preserve">ENERO </v>
                </pt>
                <pt idx="1">
                  <v>FEBRERO</v>
                </pt>
                <pt idx="2">
                  <v>MARZO</v>
                </pt>
                <pt idx="3">
                  <v>ABRIL</v>
                </pt>
                <pt idx="4">
                  <v>MAYO</v>
                </pt>
                <pt idx="5">
                  <v>JUNIO</v>
                </pt>
                <pt idx="6">
                  <v>JULIO</v>
                </pt>
                <pt idx="7">
                  <v>AGOSTO</v>
                </pt>
                <pt idx="8">
                  <v>SEPTIEMBRE</v>
                </pt>
                <pt idx="9">
                  <v>OCTUBRE</v>
                </pt>
                <pt idx="10">
                  <v>NOVIEMBRE</v>
                </pt>
                <pt idx="11">
                  <v>DICIEMBRE</v>
                </pt>
              </strCache>
            </strRef>
          </cat>
          <val>
            <numRef>
              <f>'I.F.E.L con incapacidad '!$B$13:$M$13</f>
              <numCache>
                <formatCode>0%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-25"/>
        <axId val="304279936"/>
        <axId val="304281856"/>
      </barChart>
      <catAx>
        <axId val="3042799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12600">
            <a:solidFill>
              <a:srgbClr val="F2F2F2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 strike="noStrike" spc="-1">
                <a:solidFill>
                  <a:srgbClr val="D9D9D9"/>
                </a:solidFill>
                <a:latin typeface="Calibri"/>
              </a:defRPr>
            </a:pPr>
            <a:r>
              <a:t>None</a:t>
            </a:r>
            <a:endParaRPr lang="es-CO"/>
          </a:p>
        </txPr>
        <crossAx val="304281856"/>
        <crosses val="autoZero"/>
        <auto val="1"/>
        <lblAlgn val="ctr"/>
        <lblOffset val="100"/>
        <noMultiLvlLbl val="1"/>
      </catAx>
      <valAx>
        <axId val="304281856"/>
        <scaling>
          <orientation val="minMax"/>
        </scaling>
        <delete val="1"/>
        <axPos val="l"/>
        <numFmt formatCode="0" sourceLinked="0"/>
        <majorTickMark val="none"/>
        <minorTickMark val="none"/>
        <tickLblPos val="nextTo"/>
        <crossAx val="304279936"/>
        <crosses val="autoZero"/>
        <crossBetween val="between"/>
      </valAx>
    </plotArea>
    <plotVisOnly val="1"/>
    <dispBlanksAs val="gap"/>
  </chart>
  <spPr>
    <a:gradFill xmlns:a="http://schemas.openxmlformats.org/drawingml/2006/main">
      <a:gsLst>
        <a:gs pos="0">
          <a:srgbClr val="595959"/>
        </a:gs>
        <a:gs pos="100000">
          <a:srgbClr val="262626"/>
        </a:gs>
      </a:gsLst>
      <a:path path="circle"/>
    </a:gradFill>
    <a:ln xmlns:a="http://schemas.openxmlformats.org/drawingml/2006/main">
      <a:noFill/>
      <a:prstDash val="solid"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97">
                <a:solidFill>
                  <a:srgbClr val="F2F2F2"/>
                </a:solidFill>
                <a:latin typeface="Calibri"/>
              </a:defRPr>
            </a:pPr>
            <a:r>
              <a:rPr lang="es-CO" sz="1800" b="1" strike="noStrike" spc="97">
                <a:solidFill>
                  <a:srgbClr val="F2F2F2"/>
                </a:solidFill>
                <a:latin typeface="Calibri"/>
              </a:rPr>
              <a:t xml:space="preserve">ÍNDICE DE SEVERIDAD DE ENFERMEDAD LABORAL
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rgbClr val="00B05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D9D9D9"/>
                    </a:solidFill>
                    <a:latin typeface="Calibri"/>
                  </a:defRPr>
                </a:pPr>
                <a:r>
                  <a:t>None</a:t>
                </a:r>
                <a:endParaRPr lang="es-CO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'Indice de severidad EL'!$B$8:$M$8</f>
              <strCache>
                <ptCount val="12"/>
                <pt idx="0">
                  <v xml:space="preserve">ENERO </v>
                </pt>
                <pt idx="1">
                  <v>FEBRERO</v>
                </pt>
                <pt idx="2">
                  <v>MARZO</v>
                </pt>
                <pt idx="3">
                  <v>ABRIL</v>
                </pt>
                <pt idx="4">
                  <v>MAYO</v>
                </pt>
                <pt idx="5">
                  <v>JUNIO</v>
                </pt>
                <pt idx="6">
                  <v>JULIO</v>
                </pt>
                <pt idx="7">
                  <v>AGOSTO</v>
                </pt>
                <pt idx="8">
                  <v>SEPTIEMBRE</v>
                </pt>
                <pt idx="9">
                  <v>OCTUBRE</v>
                </pt>
                <pt idx="10">
                  <v>NOVIEMBRE</v>
                </pt>
                <pt idx="11">
                  <v>DICIEMBRE</v>
                </pt>
              </strCache>
            </strRef>
          </cat>
          <val>
            <numRef>
              <f>'Indice de severidad EL'!$B$12:$M$12</f>
              <numCache>
                <formatCode>0%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-25"/>
        <axId val="305948544"/>
        <axId val="306259072"/>
      </barChart>
      <catAx>
        <axId val="30594854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12600">
            <a:solidFill>
              <a:srgbClr val="F2F2F2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 strike="noStrike" spc="-1">
                <a:solidFill>
                  <a:srgbClr val="D9D9D9"/>
                </a:solidFill>
                <a:latin typeface="Calibri"/>
              </a:defRPr>
            </a:pPr>
            <a:r>
              <a:t>None</a:t>
            </a:r>
            <a:endParaRPr lang="es-CO"/>
          </a:p>
        </txPr>
        <crossAx val="306259072"/>
        <crosses val="autoZero"/>
        <auto val="1"/>
        <lblAlgn val="ctr"/>
        <lblOffset val="100"/>
        <noMultiLvlLbl val="1"/>
      </catAx>
      <valAx>
        <axId val="306259072"/>
        <scaling>
          <orientation val="minMax"/>
        </scaling>
        <delete val="1"/>
        <axPos val="l"/>
        <numFmt formatCode="0" sourceLinked="0"/>
        <majorTickMark val="none"/>
        <minorTickMark val="none"/>
        <tickLblPos val="nextTo"/>
        <crossAx val="305948544"/>
        <crosses val="autoZero"/>
        <crossBetween val="between"/>
      </valAx>
    </plotArea>
    <plotVisOnly val="1"/>
    <dispBlanksAs val="gap"/>
  </chart>
  <spPr>
    <a:gradFill xmlns:a="http://schemas.openxmlformats.org/drawingml/2006/main">
      <a:gsLst>
        <a:gs pos="0">
          <a:srgbClr val="595959"/>
        </a:gs>
        <a:gs pos="100000">
          <a:srgbClr val="262626"/>
        </a:gs>
      </a:gsLst>
      <a:path path="circle"/>
    </a:gradFill>
    <a:ln xmlns:a="http://schemas.openxmlformats.org/drawingml/2006/main">
      <a:noFill/>
      <a:prstDash val="solid"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97">
                <a:solidFill>
                  <a:srgbClr val="F2F2F2"/>
                </a:solidFill>
                <a:latin typeface="Calibri"/>
              </a:defRPr>
            </a:pPr>
            <a:r>
              <a:rPr lang="es-CO" sz="1800" b="1" strike="noStrike" spc="97">
                <a:solidFill>
                  <a:srgbClr val="F2F2F2"/>
                </a:solidFill>
                <a:latin typeface="Calibri"/>
              </a:rPr>
              <a:t xml:space="preserve">ÍNDICE DE LESIONES INCAPACITANTES POR  ACCIDENTES DE TRABAJO
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rgbClr val="00B05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D9D9D9"/>
                    </a:solidFill>
                    <a:latin typeface="Calibri"/>
                  </a:defRPr>
                </a:pPr>
                <a:r>
                  <a:t>None</a:t>
                </a:r>
                <a:endParaRPr lang="es-CO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'Indice de lesiones incap.. AT'!$B$8:$M$8</f>
              <strCache>
                <ptCount val="12"/>
                <pt idx="0">
                  <v xml:space="preserve">ENERO </v>
                </pt>
                <pt idx="1">
                  <v>FEBRERO</v>
                </pt>
                <pt idx="2">
                  <v>MARZO</v>
                </pt>
                <pt idx="3">
                  <v>ABRIL</v>
                </pt>
                <pt idx="4">
                  <v>MAYO</v>
                </pt>
                <pt idx="5">
                  <v>JUNIO</v>
                </pt>
                <pt idx="6">
                  <v>JULIO</v>
                </pt>
                <pt idx="7">
                  <v>AGOSTO</v>
                </pt>
                <pt idx="8">
                  <v>SEPTIEMBRE</v>
                </pt>
                <pt idx="9">
                  <v>OCTUBRE</v>
                </pt>
                <pt idx="10">
                  <v>NOVIEMBRE</v>
                </pt>
                <pt idx="11">
                  <v>DICIEMBRE</v>
                </pt>
              </strCache>
            </strRef>
          </cat>
          <val>
            <numRef>
              <f>'Indice de lesiones incap.. AT'!$B$12:$M$12</f>
              <numCache>
                <formatCode>0%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0.03170828378913991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-25"/>
        <axId val="307348608"/>
        <axId val="307350528"/>
      </barChart>
      <catAx>
        <axId val="3073486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12600">
            <a:solidFill>
              <a:srgbClr val="F2F2F2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 strike="noStrike" spc="-1">
                <a:solidFill>
                  <a:srgbClr val="D9D9D9"/>
                </a:solidFill>
                <a:latin typeface="Calibri"/>
              </a:defRPr>
            </a:pPr>
            <a:r>
              <a:t>None</a:t>
            </a:r>
            <a:endParaRPr lang="es-CO"/>
          </a:p>
        </txPr>
        <crossAx val="307350528"/>
        <crosses val="autoZero"/>
        <auto val="1"/>
        <lblAlgn val="ctr"/>
        <lblOffset val="100"/>
        <noMultiLvlLbl val="1"/>
      </catAx>
      <valAx>
        <axId val="307350528"/>
        <scaling>
          <orientation val="minMax"/>
        </scaling>
        <delete val="1"/>
        <axPos val="l"/>
        <numFmt formatCode="0%" sourceLinked="0"/>
        <majorTickMark val="none"/>
        <minorTickMark val="none"/>
        <tickLblPos val="nextTo"/>
        <crossAx val="307348608"/>
        <crosses val="autoZero"/>
        <crossBetween val="between"/>
      </valAx>
    </plotArea>
    <plotVisOnly val="1"/>
    <dispBlanksAs val="gap"/>
  </chart>
  <spPr>
    <a:gradFill xmlns:a="http://schemas.openxmlformats.org/drawingml/2006/main">
      <a:gsLst>
        <a:gs pos="0">
          <a:srgbClr val="595959"/>
        </a:gs>
        <a:gs pos="100000">
          <a:srgbClr val="262626"/>
        </a:gs>
      </a:gsLst>
      <a:path path="circle"/>
    </a:gradFill>
    <a:ln xmlns:a="http://schemas.openxmlformats.org/drawingml/2006/main">
      <a:noFill/>
      <a:prstDash val="solid"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97">
                <a:solidFill>
                  <a:srgbClr val="F2F2F2"/>
                </a:solidFill>
                <a:latin typeface="Calibri"/>
              </a:defRPr>
            </a:pPr>
            <a:r>
              <a:rPr lang="es-CO" sz="1800" b="1" strike="noStrike" spc="97">
                <a:solidFill>
                  <a:srgbClr val="F2F2F2"/>
                </a:solidFill>
                <a:latin typeface="Calibri"/>
              </a:rPr>
              <a:t xml:space="preserve">TASA DE ACCIDENTALIDAD
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rgbClr val="00B05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D9D9D9"/>
                    </a:solidFill>
                    <a:latin typeface="Calibri"/>
                  </a:defRPr>
                </a:pPr>
                <a:r>
                  <a:t>None</a:t>
                </a:r>
                <a:endParaRPr lang="es-CO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'Tasa de accidentalidad'!$B$8:$M$8</f>
              <strCache>
                <ptCount val="12"/>
                <pt idx="0">
                  <v xml:space="preserve">ENERO </v>
                </pt>
                <pt idx="1">
                  <v>FEBRERO</v>
                </pt>
                <pt idx="2">
                  <v>MARZO</v>
                </pt>
                <pt idx="3">
                  <v>ABRIL</v>
                </pt>
                <pt idx="4">
                  <v>MAYO</v>
                </pt>
                <pt idx="5">
                  <v>JUNIO</v>
                </pt>
                <pt idx="6">
                  <v>JULIO</v>
                </pt>
                <pt idx="7">
                  <v>AGOSTO</v>
                </pt>
                <pt idx="8">
                  <v>SEPTIEMBRE</v>
                </pt>
                <pt idx="9">
                  <v>OCTUBRE</v>
                </pt>
                <pt idx="10">
                  <v>NOVIEMBRE</v>
                </pt>
                <pt idx="11">
                  <v>DICIEMBRE</v>
                </pt>
              </strCache>
            </strRef>
          </cat>
          <val>
            <numRef>
              <f>'Tasa de accidentalidad'!$B$11:$M$11</f>
              <numCache>
                <formatCode>0%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0.2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-25"/>
        <axId val="309875456"/>
        <axId val="309877760"/>
      </barChart>
      <catAx>
        <axId val="3098754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12600">
            <a:solidFill>
              <a:srgbClr val="F2F2F2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 strike="noStrike" spc="-1">
                <a:solidFill>
                  <a:srgbClr val="D9D9D9"/>
                </a:solidFill>
                <a:latin typeface="Calibri"/>
              </a:defRPr>
            </a:pPr>
            <a:r>
              <a:t>None</a:t>
            </a:r>
            <a:endParaRPr lang="es-CO"/>
          </a:p>
        </txPr>
        <crossAx val="309877760"/>
        <crosses val="autoZero"/>
        <auto val="1"/>
        <lblAlgn val="ctr"/>
        <lblOffset val="100"/>
        <noMultiLvlLbl val="1"/>
      </catAx>
      <valAx>
        <axId val="309877760"/>
        <scaling>
          <orientation val="minMax"/>
        </scaling>
        <delete val="1"/>
        <axPos val="l"/>
        <numFmt formatCode="0%" sourceLinked="0"/>
        <majorTickMark val="none"/>
        <minorTickMark val="none"/>
        <tickLblPos val="nextTo"/>
        <crossAx val="309875456"/>
        <crosses val="autoZero"/>
        <crossBetween val="between"/>
      </valAx>
    </plotArea>
    <plotVisOnly val="1"/>
    <dispBlanksAs val="gap"/>
  </chart>
  <spPr>
    <a:gradFill xmlns:a="http://schemas.openxmlformats.org/drawingml/2006/main">
      <a:gsLst>
        <a:gs pos="0">
          <a:srgbClr val="595959"/>
        </a:gs>
        <a:gs pos="100000">
          <a:srgbClr val="262626"/>
        </a:gs>
      </a:gsLst>
      <a:path path="circle"/>
    </a:gradFill>
    <a:ln xmlns:a="http://schemas.openxmlformats.org/drawingml/2006/main">
      <a:noFill/>
      <a:prstDash val="solid"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>None</a:t>
            </a:r>
          </a:p>
        </rich>
      </tx>
      <layout/>
      <overlay val="0"/>
    </title>
    <view3D>
      <rotX val="15"/>
      <rotY val="20"/>
      <rAngAx val="1"/>
    </view3D>
    <floor>
      <thickness val="0"/>
    </floor>
    <sideWall>
      <thickness val="0"/>
    </sideWall>
    <backWall>
      <thickness val="0"/>
    </backWall>
    <plotArea>
      <layout/>
      <bar3DChart>
        <barDir val="col"/>
        <grouping val="clustered"/>
        <varyColors val="0"/>
        <ser>
          <idx val="0"/>
          <order val="0"/>
          <tx>
            <strRef>
              <f>'Ausentimos por causa médica'!$A$11</f>
              <strCache>
                <ptCount val="1"/>
                <pt idx="0">
                  <v>Ausentismos por causa médica o comun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'Ausentimos por causa médica'!$B$8:$M$8</f>
              <strCache>
                <ptCount val="12"/>
                <pt idx="0">
                  <v xml:space="preserve">ENERO </v>
                </pt>
                <pt idx="1">
                  <v>FEBRERO</v>
                </pt>
                <pt idx="2">
                  <v>MARZO</v>
                </pt>
                <pt idx="3">
                  <v>ABRIL</v>
                </pt>
                <pt idx="4">
                  <v>MAYO</v>
                </pt>
                <pt idx="5">
                  <v>JUNIO</v>
                </pt>
                <pt idx="6">
                  <v>JULIO</v>
                </pt>
                <pt idx="7">
                  <v>AGOSTO</v>
                </pt>
                <pt idx="8">
                  <v>SEPTIEMBRE</v>
                </pt>
                <pt idx="9">
                  <v>OCTUBRE</v>
                </pt>
                <pt idx="10">
                  <v>NOVIEMBRE</v>
                </pt>
                <pt idx="11">
                  <v>DICIEMBRE</v>
                </pt>
              </strCache>
            </strRef>
          </cat>
          <val>
            <numRef>
              <f>'Ausentimos por causa médica'!$B$11:$M$11</f>
              <numCache>
                <formatCode>0%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0.2307692307692308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gapDepth val="150"/>
        <shape val="box"/>
        <axId val="334611584"/>
        <axId val="334807040"/>
        <axId val="1000"/>
      </bar3DChart>
      <catAx>
        <axId val="334611584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334807040"/>
        <crosses val="autoZero"/>
        <auto val="1"/>
        <lblAlgn val="ctr"/>
        <lblOffset val="100"/>
        <noMultiLvlLbl val="0"/>
      </catAx>
      <valAx>
        <axId val="334807040"/>
        <scaling>
          <orientation val="minMax"/>
        </scaling>
        <delete val="0"/>
        <axPos val="l"/>
        <majorGridlines/>
        <numFmt formatCode="0%" sourceLinked="1"/>
        <majorTickMark val="out"/>
        <minorTickMark val="none"/>
        <tickLblPos val="nextTo"/>
        <crossAx val="334611584"/>
        <crosses val="autoZero"/>
        <crossBetween val="between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  <layout/>
      <overlay val="0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>None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800" b="0" i="0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O"/>
        </a:p>
      </txPr>
    </title>
    <view3D>
      <rotX val="15"/>
      <rotY val="20"/>
      <rAngAx val="1"/>
    </view3D>
    <floor>
      <thickness val="0"/>
      <spPr>
        <a:solidFill xmlns:a="http://schemas.openxmlformats.org/drawingml/2006/main">
          <a:schemeClr val="bg2">
            <a:alpha val="27000"/>
            <a:lumMod val="75000"/>
          </a:schemeClr>
        </a:solidFill>
        <a:ln xmlns:a="http://schemas.openxmlformats.org/drawingml/2006/main">
          <a:noFill/>
          <a:prstDash val="solid"/>
        </a:ln>
        <a:sp3d xmlns:a="http://schemas.openxmlformats.org/drawingml/2006/main"/>
      </spPr>
    </floor>
    <sideWall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sideWall>
    <backWall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backWall>
    <plotArea>
      <layout>
        <manualLayout>
          <layoutTarget val="inner"/>
          <xMode val="edge"/>
          <yMode val="edge"/>
          <wMode val="factor"/>
          <hMode val="factor"/>
          <x val="0.04444444444444445"/>
          <y val="0.319212962962963"/>
          <w val="0.5746443569553806"/>
          <h val="0.5965357976086323"/>
        </manualLayout>
      </layout>
      <bar3DChart>
        <barDir val="col"/>
        <grouping val="standard"/>
        <varyColors val="0"/>
        <ser>
          <idx val="0"/>
          <order val="0"/>
          <tx>
            <strRef>
              <f>'Indice de frecuencia de ausenti'!$A$12</f>
              <strCache>
                <ptCount val="1"/>
                <pt idx="0">
                  <v>Indice de frecuencia de Ausentismo</v>
                </pt>
              </strCache>
            </strRef>
          </tx>
          <spPr>
            <a:solidFill xmlns:a="http://schemas.openxmlformats.org/drawingml/2006/main">
              <a:schemeClr val="accent1">
                <a:alpha val="88000"/>
              </a:schemeClr>
            </a:solidFill>
            <a:ln xmlns:a="http://schemas.openxmlformats.org/drawingml/2006/main">
              <a:solidFill>
                <a:schemeClr val="accent1">
                  <a:lumMod val="50000"/>
                </a:schemeClr>
              </a:solidFill>
              <a:prstDash val="solid"/>
            </a:ln>
            <scene3d>
              <camera prst="orthographicFront"/>
              <lightRig rig="threePt" dir="t"/>
            </scene3d>
            <a:sp3d xmlns:a="http://schemas.openxmlformats.org/drawingml/2006/main" prstMaterial="flat">
              <contourClr rgb="00000000"/>
            </a:sp3d>
          </spPr>
          <invertIfNegative val="0"/>
          <dLbls>
            <spPr>
              <a:solidFill xmlns:a="http://schemas.openxmlformats.org/drawingml/2006/main">
                <a:schemeClr val="accent1">
                  <a:alpha val="30000"/>
                </a:schemeClr>
              </a:solidFill>
              <a:ln xmlns:a="http://schemas.openxmlformats.org/drawingml/2006/main">
                <a:solidFill>
                  <a:schemeClr val="lt1">
                    <a:alpha val="50000"/>
                  </a:schemeClr>
                </a:solidFill>
                <a:prstDash val="solid"/>
                <a:round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s-CO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'Indice de frecuencia de ausenti'!$A$12</f>
              <strCache>
                <ptCount val="1"/>
                <pt idx="0">
                  <v>Indice de frecuencia de Ausentismo</v>
                </pt>
              </strCache>
            </strRef>
          </cat>
          <val>
            <numRef>
              <f>'Indice de frecuencia de ausenti'!$B$12:$C$12</f>
              <numCache>
                <formatCode>0</formatCode>
                <ptCount val="2"/>
                <pt idx="0">
                  <v>58.63669679941363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84"/>
        <gapDepth val="53"/>
        <shape val="box"/>
        <axId val="336350592"/>
        <axId val="336896000"/>
        <axId val="164841664"/>
      </bar3DChart>
      <catAx>
        <axId val="336350592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txPr>
          <a:bodyPr xmlns:a="http://schemas.openxmlformats.org/drawingml/2006/main" rot="-60000000" vert="horz"/>
          <a:lstStyle xmlns:a="http://schemas.openxmlformats.org/drawingml/2006/main"/>
          <a:p xmlns:a="http://schemas.openxmlformats.org/drawingml/2006/main">
            <a:pPr>
              <a:defRPr/>
            </a:pPr>
            <a:r>
              <a:t>None</a:t>
            </a:r>
            <a:endParaRPr lang="es-CO"/>
          </a:p>
        </txPr>
        <crossAx val="336896000"/>
        <crosses val="autoZero"/>
        <auto val="1"/>
        <lblAlgn val="ctr"/>
        <lblOffset val="100"/>
        <noMultiLvlLbl val="0"/>
      </catAx>
      <valAx>
        <axId val="336896000"/>
        <scaling>
          <orientation val="minMax"/>
        </scaling>
        <delete val="1"/>
        <axPos val="l"/>
        <numFmt formatCode="0" sourceLinked="1"/>
        <majorTickMark val="out"/>
        <minorTickMark val="none"/>
        <tickLblPos val="nextTo"/>
        <crossAx val="336350592"/>
        <crosses val="autoZero"/>
        <crossBetween val="between"/>
      </valAx>
      <serAx>
        <axId val="164841664"/>
        <scaling>
          <orientation val="minMax"/>
        </scaling>
        <delete val="0"/>
        <axPos val="b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O"/>
          </a:p>
        </txPr>
        <crossAx val="336896000"/>
        <crosses val="autoZero"/>
      </serAx>
    </plotArea>
    <plotVisOnly val="1"/>
    <dispBlanksAs val="gap"/>
  </chart>
  <spPr>
    <a:solidFill xmlns:a="http://schemas.openxmlformats.org/drawingml/2006/main">
      <a:schemeClr val="dk1">
        <a:lumMod val="75000"/>
        <a:lumOff val="25000"/>
      </a:schemeClr>
    </a:solidFill>
    <a:ln xmlns:a="http://schemas.openxmlformats.org/drawingml/2006/main" w="6350" cap="flat" cmpd="sng" algn="ctr">
      <a:solidFill>
        <a:schemeClr val="dk1">
          <a:tint val="75000"/>
        </a:schemeClr>
      </a:solidFill>
      <a:prstDash val="solid"/>
      <a:round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97">
                <a:solidFill>
                  <a:srgbClr val="F2F2F2"/>
                </a:solidFill>
                <a:latin typeface="Calibri"/>
              </a:defRPr>
            </a:pPr>
            <a:r>
              <a:rPr lang="es-CO" sz="1800" b="1" strike="noStrike" spc="97">
                <a:solidFill>
                  <a:srgbClr val="F2F2F2"/>
                </a:solidFill>
                <a:latin typeface="Calibri"/>
              </a:rPr>
              <a:t xml:space="preserve">COBERTURA DE INDUCCIÓN
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rgbClr val="00B05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D9D9D9"/>
                    </a:solidFill>
                    <a:latin typeface="Calibri"/>
                  </a:defRPr>
                </a:pPr>
                <a:r>
                  <a:t>None</a:t>
                </a:r>
                <a:endParaRPr lang="es-CO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'Cobertura de inducción'!$B$8:$M$8</f>
              <strCache>
                <ptCount val="12"/>
                <pt idx="0">
                  <v xml:space="preserve">ENERO </v>
                </pt>
                <pt idx="1">
                  <v>FEBRERO</v>
                </pt>
                <pt idx="2">
                  <v>MARZO</v>
                </pt>
                <pt idx="3">
                  <v>ABRIL</v>
                </pt>
                <pt idx="4">
                  <v>MAYO</v>
                </pt>
                <pt idx="5">
                  <v>JUNIO</v>
                </pt>
                <pt idx="6">
                  <v>JULIO</v>
                </pt>
                <pt idx="7">
                  <v>AGOSTO</v>
                </pt>
                <pt idx="8">
                  <v>SEPTIEMBRE</v>
                </pt>
                <pt idx="9">
                  <v>OCTUBRE</v>
                </pt>
                <pt idx="10">
                  <v>NOVIEMBRE</v>
                </pt>
                <pt idx="11">
                  <v>DICIEMBRE</v>
                </pt>
              </strCache>
            </strRef>
          </cat>
          <val>
            <numRef>
              <f>'Cobertura de inducción'!$B$11:$M$11</f>
              <numCache>
                <formatCode>0%</formatCode>
                <ptCount val="12"/>
                <pt idx="0">
                  <v>1</v>
                </pt>
                <pt idx="1">
                  <v>0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1</v>
                </pt>
                <pt idx="10">
                  <v>1</v>
                </pt>
                <pt idx="11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-25"/>
        <axId val="352583680"/>
        <axId val="352585600"/>
      </barChart>
      <catAx>
        <axId val="35258368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12600">
            <a:solidFill>
              <a:srgbClr val="F2F2F2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 strike="noStrike" spc="-1">
                <a:solidFill>
                  <a:srgbClr val="D9D9D9"/>
                </a:solidFill>
                <a:latin typeface="Calibri"/>
              </a:defRPr>
            </a:pPr>
            <a:r>
              <a:t>None</a:t>
            </a:r>
            <a:endParaRPr lang="es-CO"/>
          </a:p>
        </txPr>
        <crossAx val="352585600"/>
        <crosses val="autoZero"/>
        <auto val="1"/>
        <lblAlgn val="ctr"/>
        <lblOffset val="100"/>
        <noMultiLvlLbl val="1"/>
      </catAx>
      <valAx>
        <axId val="352585600"/>
        <scaling>
          <orientation val="minMax"/>
        </scaling>
        <delete val="1"/>
        <axPos val="l"/>
        <numFmt formatCode="0%" sourceLinked="0"/>
        <majorTickMark val="none"/>
        <minorTickMark val="none"/>
        <tickLblPos val="nextTo"/>
        <crossAx val="352583680"/>
        <crosses val="autoZero"/>
        <crossBetween val="between"/>
      </valAx>
    </plotArea>
    <plotVisOnly val="1"/>
    <dispBlanksAs val="gap"/>
  </chart>
  <spPr>
    <a:gradFill xmlns:a="http://schemas.openxmlformats.org/drawingml/2006/main">
      <a:gsLst>
        <a:gs pos="0">
          <a:srgbClr val="595959"/>
        </a:gs>
        <a:gs pos="100000">
          <a:srgbClr val="262626"/>
        </a:gs>
      </a:gsLst>
      <a:path path="circle"/>
    </a:gradFill>
    <a:ln xmlns:a="http://schemas.openxmlformats.org/drawingml/2006/main">
      <a:noFill/>
      <a:prstDash val="solid"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97">
                <a:solidFill>
                  <a:srgbClr val="F2F2F2"/>
                </a:solidFill>
                <a:latin typeface="Calibri"/>
              </a:defRPr>
            </a:pPr>
            <a:r>
              <a:rPr lang="es-CO" sz="1800" b="1" strike="noStrike" spc="97">
                <a:solidFill>
                  <a:srgbClr val="F2F2F2"/>
                </a:solidFill>
                <a:latin typeface="Calibri"/>
              </a:rPr>
              <a:t xml:space="preserve">ACCIONES CORRECTIVAS REALIZADAS 
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rgbClr val="00B05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D9D9D9"/>
                    </a:solidFill>
                    <a:latin typeface="Calibri"/>
                  </a:defRPr>
                </a:pPr>
                <a:r>
                  <a:t>None</a:t>
                </a:r>
                <a:endParaRPr lang="es-CO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'Acciones Correctivas  '!$B$8:$M$8</f>
              <strCache>
                <ptCount val="12"/>
                <pt idx="0">
                  <v xml:space="preserve">ENERO </v>
                </pt>
                <pt idx="1">
                  <v>FEBRERO</v>
                </pt>
                <pt idx="2">
                  <v>MARZO</v>
                </pt>
                <pt idx="3">
                  <v>ABRIL</v>
                </pt>
                <pt idx="4">
                  <v>MAYO</v>
                </pt>
                <pt idx="5">
                  <v>JUNIO</v>
                </pt>
                <pt idx="6">
                  <v>JULIO</v>
                </pt>
                <pt idx="7">
                  <v>AGOSTO</v>
                </pt>
                <pt idx="8">
                  <v>SEPTIEMBRE</v>
                </pt>
                <pt idx="9">
                  <v>OCTUBRE</v>
                </pt>
                <pt idx="10">
                  <v>NOVIEMBRE</v>
                </pt>
                <pt idx="11">
                  <v>DICIEMBRE</v>
                </pt>
              </strCache>
            </strRef>
          </cat>
          <val>
            <numRef>
              <f>'Acciones Correctivas  '!$B$11:$M$11</f>
              <numCache>
                <formatCode>0%</formatCode>
                <ptCount val="12"/>
                <pt idx="0">
                  <v>0</v>
                </pt>
                <pt idx="1">
                  <v>1</v>
                </pt>
                <pt idx="2">
                  <v>1</v>
                </pt>
                <pt idx="3">
                  <v>0</v>
                </pt>
                <pt idx="4">
                  <v>1</v>
                </pt>
                <pt idx="5">
                  <v>0.07692307692307693</v>
                </pt>
                <pt idx="6">
                  <v>0.07692307692307693</v>
                </pt>
                <pt idx="7">
                  <v>0.07692307692307693</v>
                </pt>
                <pt idx="8">
                  <v>0</v>
                </pt>
                <pt idx="9">
                  <v>0</v>
                </pt>
                <pt idx="10">
                  <v>1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-25"/>
        <axId val="421103872"/>
        <axId val="162238848"/>
      </barChart>
      <catAx>
        <axId val="42110387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12600">
            <a:solidFill>
              <a:srgbClr val="F2F2F2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 strike="noStrike" spc="-1">
                <a:solidFill>
                  <a:srgbClr val="D9D9D9"/>
                </a:solidFill>
                <a:latin typeface="Calibri"/>
              </a:defRPr>
            </a:pPr>
            <a:r>
              <a:t>None</a:t>
            </a:r>
            <a:endParaRPr lang="es-CO"/>
          </a:p>
        </txPr>
        <crossAx val="162238848"/>
        <crosses val="autoZero"/>
        <auto val="1"/>
        <lblAlgn val="ctr"/>
        <lblOffset val="100"/>
        <noMultiLvlLbl val="1"/>
      </catAx>
      <valAx>
        <axId val="162238848"/>
        <scaling>
          <orientation val="minMax"/>
        </scaling>
        <delete val="1"/>
        <axPos val="l"/>
        <numFmt formatCode="General" sourceLinked="0"/>
        <majorTickMark val="none"/>
        <minorTickMark val="none"/>
        <tickLblPos val="nextTo"/>
        <crossAx val="421103872"/>
        <crosses val="autoZero"/>
        <crossBetween val="between"/>
      </valAx>
    </plotArea>
    <plotVisOnly val="1"/>
    <dispBlanksAs val="gap"/>
  </chart>
  <spPr>
    <a:gradFill xmlns:a="http://schemas.openxmlformats.org/drawingml/2006/main">
      <a:gsLst>
        <a:gs pos="0">
          <a:srgbClr val="595959"/>
        </a:gs>
        <a:gs pos="100000">
          <a:srgbClr val="262626"/>
        </a:gs>
      </a:gsLst>
      <a:path path="circle"/>
    </a:gradFill>
    <a:ln xmlns:a="http://schemas.openxmlformats.org/drawingml/2006/main">
      <a:noFill/>
      <a:prstDash val="solid"/>
    </a:ln>
  </spPr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97">
                <a:solidFill>
                  <a:srgbClr val="F2F2F2"/>
                </a:solidFill>
                <a:latin typeface="Calibri"/>
              </a:defRPr>
            </a:pPr>
            <a:r>
              <a:rPr lang="es-CO" sz="1800" b="1" strike="noStrike" spc="97">
                <a:solidFill>
                  <a:srgbClr val="F2F2F2"/>
                </a:solidFill>
                <a:latin typeface="Calibri"/>
              </a:rPr>
              <a:t xml:space="preserve">REQUISITOS LEGALES CUMPLIDOS 
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rgbClr val="00B05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D9D9D9"/>
                    </a:solidFill>
                    <a:latin typeface="Calibri"/>
                  </a:defRPr>
                </a:pPr>
                <a:r>
                  <a:t>None</a:t>
                </a:r>
                <a:endParaRPr lang="es-CO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'Requisitos legales'!$B$8:$M$8</f>
              <strCache>
                <ptCount val="12"/>
                <pt idx="0">
                  <v xml:space="preserve">ENERO </v>
                </pt>
                <pt idx="1">
                  <v>FEBRERO</v>
                </pt>
                <pt idx="2">
                  <v>MARZO</v>
                </pt>
                <pt idx="3">
                  <v>ABRIL</v>
                </pt>
                <pt idx="4">
                  <v>MAYO</v>
                </pt>
                <pt idx="5">
                  <v>JUNIO</v>
                </pt>
                <pt idx="6">
                  <v>JULIO</v>
                </pt>
                <pt idx="7">
                  <v>AGOSTO</v>
                </pt>
                <pt idx="8">
                  <v>SEPTIEMBRE</v>
                </pt>
                <pt idx="9">
                  <v>OCTUBRE</v>
                </pt>
                <pt idx="10">
                  <v>NOVIEMBRE</v>
                </pt>
                <pt idx="11">
                  <v>DICIEMBRE</v>
                </pt>
              </strCache>
            </strRef>
          </cat>
          <val>
            <numRef>
              <f>'Requisitos legales'!$B$11:$M$11</f>
              <numCache>
                <formatCode>0%</formatCode>
                <ptCount val="12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-25"/>
        <axId val="162432128"/>
        <axId val="162433664"/>
      </barChart>
      <catAx>
        <axId val="1624321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12600">
            <a:solidFill>
              <a:srgbClr val="F2F2F2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 strike="noStrike" spc="-1">
                <a:solidFill>
                  <a:srgbClr val="D9D9D9"/>
                </a:solidFill>
                <a:latin typeface="Calibri"/>
              </a:defRPr>
            </a:pPr>
            <a:r>
              <a:t>None</a:t>
            </a:r>
            <a:endParaRPr lang="es-CO"/>
          </a:p>
        </txPr>
        <crossAx val="162433664"/>
        <crosses val="autoZero"/>
        <auto val="1"/>
        <lblAlgn val="ctr"/>
        <lblOffset val="100"/>
        <noMultiLvlLbl val="1"/>
      </catAx>
      <valAx>
        <axId val="162433664"/>
        <scaling>
          <orientation val="minMax"/>
        </scaling>
        <delete val="1"/>
        <axPos val="l"/>
        <numFmt formatCode="General" sourceLinked="0"/>
        <majorTickMark val="none"/>
        <minorTickMark val="none"/>
        <tickLblPos val="nextTo"/>
        <crossAx val="162432128"/>
        <crosses val="autoZero"/>
        <crossBetween val="between"/>
      </valAx>
    </plotArea>
    <plotVisOnly val="1"/>
    <dispBlanksAs val="gap"/>
  </chart>
  <spPr>
    <a:gradFill xmlns:a="http://schemas.openxmlformats.org/drawingml/2006/main">
      <a:gsLst>
        <a:gs pos="0">
          <a:srgbClr val="595959"/>
        </a:gs>
        <a:gs pos="100000">
          <a:srgbClr val="262626"/>
        </a:gs>
      </a:gsLst>
      <a:path path="circle"/>
    </a:gradFill>
    <a:ln xmlns:a="http://schemas.openxmlformats.org/drawingml/2006/main">
      <a:noFill/>
      <a:prstDash val="solid"/>
    </a:ln>
  </spPr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97">
                <a:solidFill>
                  <a:srgbClr val="F2F2F2"/>
                </a:solidFill>
                <a:latin typeface="Calibri"/>
              </a:defRPr>
            </a:pPr>
            <a:r>
              <a:rPr lang="es-CO" sz="1800" b="1" strike="noStrike" spc="97">
                <a:solidFill>
                  <a:srgbClr val="F2F2F2"/>
                </a:solidFill>
                <a:latin typeface="Calibri"/>
              </a:rPr>
              <a:t xml:space="preserve">EVALUACIONES OCUPACIONALES EJECUTADAS 
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rgbClr val="00B05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D9D9D9"/>
                    </a:solidFill>
                    <a:latin typeface="Calibri"/>
                  </a:defRPr>
                </a:pPr>
                <a:r>
                  <a:t>None</a:t>
                </a:r>
                <a:endParaRPr lang="es-CO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'Evaluaciones ocupacionales'!$B$8:$M$8</f>
              <strCache>
                <ptCount val="12"/>
                <pt idx="0">
                  <v xml:space="preserve">ENERO </v>
                </pt>
                <pt idx="1">
                  <v>FEBRERO</v>
                </pt>
                <pt idx="2">
                  <v>MARZO</v>
                </pt>
                <pt idx="3">
                  <v>ABRIL</v>
                </pt>
                <pt idx="4">
                  <v>MAYO</v>
                </pt>
                <pt idx="5">
                  <v>JUNIO</v>
                </pt>
                <pt idx="6">
                  <v>JULIO</v>
                </pt>
                <pt idx="7">
                  <v>AGOSTO</v>
                </pt>
                <pt idx="8">
                  <v>SEPTIEMBRE</v>
                </pt>
                <pt idx="9">
                  <v>OCTUBRE</v>
                </pt>
                <pt idx="10">
                  <v>NOVIEMBRE</v>
                </pt>
                <pt idx="11">
                  <v>DICIEMBRE</v>
                </pt>
              </strCache>
            </strRef>
          </cat>
          <val>
            <numRef>
              <f>'Evaluaciones ocupacionales'!$B$11:$M$11</f>
              <numCache>
                <formatCode>0%</formatCode>
                <ptCount val="12"/>
                <pt idx="0">
                  <v>0</v>
                </pt>
                <pt idx="1">
                  <v>0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1</v>
                </pt>
                <pt idx="10">
                  <v>1</v>
                </pt>
                <pt idx="11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-25"/>
        <axId val="162684288"/>
        <axId val="162686080"/>
      </barChart>
      <catAx>
        <axId val="16268428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12600">
            <a:solidFill>
              <a:srgbClr val="F2F2F2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1" strike="noStrike" spc="-1">
                <a:solidFill>
                  <a:srgbClr val="D9D9D9"/>
                </a:solidFill>
                <a:latin typeface="Calibri"/>
              </a:defRPr>
            </a:pPr>
            <a:r>
              <a:t>None</a:t>
            </a:r>
            <a:endParaRPr lang="es-CO"/>
          </a:p>
        </txPr>
        <crossAx val="162686080"/>
        <crosses val="autoZero"/>
        <auto val="1"/>
        <lblAlgn val="ctr"/>
        <lblOffset val="100"/>
        <noMultiLvlLbl val="1"/>
      </catAx>
      <valAx>
        <axId val="162686080"/>
        <scaling>
          <orientation val="minMax"/>
        </scaling>
        <delete val="1"/>
        <axPos val="l"/>
        <numFmt formatCode="0%" sourceLinked="0"/>
        <majorTickMark val="none"/>
        <minorTickMark val="none"/>
        <tickLblPos val="nextTo"/>
        <crossAx val="162684288"/>
        <crosses val="autoZero"/>
        <crossBetween val="between"/>
      </valAx>
    </plotArea>
    <plotVisOnly val="1"/>
    <dispBlanksAs val="gap"/>
  </chart>
  <spPr>
    <a:gradFill xmlns:a="http://schemas.openxmlformats.org/drawingml/2006/main">
      <a:gsLst>
        <a:gs pos="0">
          <a:srgbClr val="595959"/>
        </a:gs>
        <a:gs pos="100000">
          <a:srgbClr val="262626"/>
        </a:gs>
      </a:gsLst>
      <a:path path="circle"/>
    </a:gradFill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462543</colOff>
      <row>1</row>
      <rowOff>0</rowOff>
    </to>
    <pic>
      <nvPicPr>
        <cNvPr id="2" name="Imagen 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t="23360" b="16879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914525" cy="9525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3</col>
      <colOff>267120</colOff>
      <row>7</row>
      <rowOff>133560</rowOff>
    </from>
    <to>
      <col>8</col>
      <colOff>181080</colOff>
      <row>21</row>
      <rowOff>47520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 editAs="oneCell">
    <from>
      <col>3</col>
      <colOff>266760</colOff>
      <row>7</row>
      <rowOff>171360</rowOff>
    </from>
    <to>
      <col>8</col>
      <colOff>180720</colOff>
      <row>23</row>
      <rowOff>56880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371520</colOff>
      <row>14</row>
      <rowOff>85680</rowOff>
    </from>
    <to>
      <col>5</col>
      <colOff>228240</colOff>
      <row>32</row>
      <rowOff>56880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371520</colOff>
      <row>14</row>
      <rowOff>85680</rowOff>
    </from>
    <to>
      <col>5</col>
      <colOff>228240</colOff>
      <row>32</row>
      <rowOff>56880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114480</colOff>
      <row>13</row>
      <rowOff>47520</rowOff>
    </from>
    <to>
      <col>4</col>
      <colOff>704520</colOff>
      <row>31</row>
      <rowOff>18719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7.xml><?xml version="1.0" encoding="utf-8"?>
<wsDr xmlns="http://schemas.openxmlformats.org/drawingml/2006/spreadsheetDrawing">
  <twoCellAnchor editAs="oneCell">
    <from>
      <col>0</col>
      <colOff>123840</colOff>
      <row>13</row>
      <rowOff>0</rowOff>
    </from>
    <to>
      <col>4</col>
      <colOff>571320</colOff>
      <row>30</row>
      <rowOff>161640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8.xml><?xml version="1.0" encoding="utf-8"?>
<wsDr xmlns="http://schemas.openxmlformats.org/drawingml/2006/spreadsheetDrawing">
  <twoCellAnchor editAs="oneCell">
    <from>
      <col>0</col>
      <colOff>257040</colOff>
      <row>12</row>
      <rowOff>0</rowOff>
    </from>
    <to>
      <col>4</col>
      <colOff>485280</colOff>
      <row>29</row>
      <rowOff>161640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9.xml><?xml version="1.0" encoding="utf-8"?>
<wsDr xmlns="http://schemas.openxmlformats.org/drawingml/2006/spreadsheetDrawing">
  <twoCellAnchor>
    <from>
      <col>3</col>
      <colOff>83635</colOff>
      <row>14</row>
      <rowOff>126845</rowOff>
    </from>
    <to>
      <col>9</col>
      <colOff>708567</colOff>
      <row>35</row>
      <rowOff>104543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10.xml><?xml version="1.0" encoding="utf-8"?>
<wsDr xmlns="http://schemas.openxmlformats.org/drawingml/2006/spreadsheetDrawing">
  <twoCellAnchor>
    <from>
      <col>4</col>
      <colOff>315951</colOff>
      <row>7</row>
      <rowOff>121036</rowOff>
    </from>
    <to>
      <col>9</col>
      <colOff>659781</colOff>
      <row>19</row>
      <rowOff>53200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11.xml><?xml version="1.0" encoding="utf-8"?>
<wsDr xmlns="http://schemas.openxmlformats.org/drawingml/2006/spreadsheetDrawing">
  <twoCellAnchor editAs="oneCell">
    <from>
      <col>0</col>
      <colOff>200160</colOff>
      <row>11</row>
      <rowOff>171360</rowOff>
    </from>
    <to>
      <col>4</col>
      <colOff>37800</colOff>
      <row>29</row>
      <rowOff>142560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12.xml><?xml version="1.0" encoding="utf-8"?>
<wsDr xmlns="http://schemas.openxmlformats.org/drawingml/2006/spreadsheetDrawing">
  <twoCellAnchor editAs="oneCell">
    <from>
      <col>0</col>
      <colOff>200160</colOff>
      <row>11</row>
      <rowOff>171360</rowOff>
    </from>
    <to>
      <col>4</col>
      <colOff>37800</colOff>
      <row>29</row>
      <rowOff>142560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13.xml><?xml version="1.0" encoding="utf-8"?>
<wsDr xmlns="http://schemas.openxmlformats.org/drawingml/2006/spreadsheetDrawing">
  <twoCellAnchor editAs="oneCell">
    <from>
      <col>0</col>
      <colOff>200160</colOff>
      <row>11</row>
      <rowOff>171359</rowOff>
    </from>
    <to>
      <col>6</col>
      <colOff>278781</colOff>
      <row>37</row>
      <rowOff>127774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14.xml><?xml version="1.0" encoding="utf-8"?>
<wsDr xmlns="http://schemas.openxmlformats.org/drawingml/2006/spreadsheetDrawing">
  <twoCellAnchor editAs="oneCell">
    <from>
      <col>0</col>
      <colOff>200159</colOff>
      <row>11</row>
      <rowOff>171360</rowOff>
    </from>
    <to>
      <col>4</col>
      <colOff>731798</colOff>
      <row>33</row>
      <rowOff>34848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user\Downloads\prevalencia%20E.L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Users\user\Downloads\frecuencia%20de%20accidentalidad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C:\Users\user\Downloads\severidad%20de%20accidentalidad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evalencia de EL"/>
    </sheetNames>
    <sheetDataSet>
      <sheetData sheetId="0">
        <row r="11">
          <cell r="B11">
            <v>14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F.A."/>
    </sheetNames>
    <sheetDataSet>
      <sheetData sheetId="0">
        <row r="8">
          <cell r="B8" t="str">
            <v xml:space="preserve">ENERO 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1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B10">
            <v>13</v>
          </cell>
          <cell r="C10">
            <v>14</v>
          </cell>
          <cell r="D10">
            <v>12</v>
          </cell>
          <cell r="E10">
            <v>9</v>
          </cell>
          <cell r="F10">
            <v>11</v>
          </cell>
          <cell r="G10">
            <v>5</v>
          </cell>
          <cell r="H10">
            <v>5</v>
          </cell>
          <cell r="I10">
            <v>5</v>
          </cell>
          <cell r="J10">
            <v>6</v>
          </cell>
          <cell r="K10">
            <v>6</v>
          </cell>
        </row>
        <row r="14">
          <cell r="B14">
            <v>1680</v>
          </cell>
          <cell r="C14">
            <v>1402</v>
          </cell>
          <cell r="D14">
            <v>858</v>
          </cell>
          <cell r="E14">
            <v>1835</v>
          </cell>
          <cell r="F14">
            <v>868</v>
          </cell>
          <cell r="G14">
            <v>832</v>
          </cell>
          <cell r="H14">
            <v>824</v>
          </cell>
          <cell r="I14">
            <v>870</v>
          </cell>
          <cell r="J14">
            <v>974</v>
          </cell>
          <cell r="K14">
            <v>1075</v>
          </cell>
          <cell r="L14">
            <v>1318</v>
          </cell>
          <cell r="M14">
            <v>1707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everidad de accidentalidad "/>
    </sheetNames>
    <sheetDataSet>
      <sheetData sheetId="0">
        <row r="8">
          <cell r="B8" t="str">
            <v xml:space="preserve">ENERO 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13.793103448275861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"/>
  <sheetViews>
    <sheetView zoomScale="82" zoomScaleNormal="82" workbookViewId="0">
      <pane xSplit="5" ySplit="3" topLeftCell="M25" activePane="bottomRight" state="frozen"/>
      <selection pane="topRight" activeCell="F1" sqref="F1"/>
      <selection pane="bottomLeft" activeCell="A4" sqref="A4"/>
      <selection pane="bottomRight" activeCell="Q22" sqref="Q22:V22"/>
    </sheetView>
  </sheetViews>
  <sheetFormatPr baseColWidth="10" defaultColWidth="9.140625" defaultRowHeight="15"/>
  <cols>
    <col width="21.7109375" customWidth="1" style="89" min="1" max="1"/>
    <col width="32" customWidth="1" style="89" min="2" max="2"/>
    <col width="51.140625" customWidth="1" style="89" min="3" max="3"/>
    <col width="16" customWidth="1" style="89" min="4" max="4"/>
    <col width="21.140625" customWidth="1" style="89" min="5" max="5"/>
    <col width="19.5703125" customWidth="1" style="89" min="6" max="6"/>
    <col width="28.85546875" customWidth="1" style="89" min="7" max="7"/>
    <col width="21.42578125" customWidth="1" style="89" min="8" max="8"/>
    <col width="27.140625" customWidth="1" style="89" min="9" max="9"/>
    <col width="17.42578125" customWidth="1" style="89" min="10" max="10"/>
    <col width="13.140625" customWidth="1" style="89" min="11" max="11"/>
    <col width="12" customWidth="1" style="89" min="12" max="12"/>
    <col width="11.28515625" customWidth="1" style="89" min="13" max="13"/>
    <col width="10.5703125" customWidth="1" style="89" min="14" max="1025"/>
  </cols>
  <sheetData>
    <row r="1" ht="75" customHeight="1" s="89">
      <c r="A1" s="191" t="inlineStr">
        <is>
          <t>MATRIZ DE ACTIVIDADES DE SEGURIDAD Y SALUD EN EL TRABAJO</t>
        </is>
      </c>
      <c r="B1" s="168" t="n"/>
      <c r="C1" s="168" t="n"/>
      <c r="D1" s="168" t="n"/>
      <c r="E1" s="168" t="n"/>
      <c r="F1" s="168" t="n"/>
      <c r="G1" s="168" t="n"/>
      <c r="H1" s="168" t="n"/>
      <c r="I1" s="168" t="n"/>
      <c r="J1" s="169" t="n"/>
      <c r="K1" s="2" t="n"/>
    </row>
    <row r="2" ht="29.25" customHeight="1" s="89">
      <c r="A2" s="170" t="inlineStr">
        <is>
          <t>CODIGO:
FG-FOR-SST-125</t>
        </is>
      </c>
      <c r="B2" s="171" t="n"/>
      <c r="C2" s="172" t="n"/>
      <c r="D2" s="170" t="inlineStr">
        <is>
          <t>VERSIÓN: 1</t>
        </is>
      </c>
      <c r="E2" s="171" t="n"/>
      <c r="F2" s="171" t="n"/>
      <c r="G2" s="172" t="n"/>
      <c r="H2" s="170" t="inlineStr">
        <is>
          <t>FECHA: 01/02/2026</t>
        </is>
      </c>
      <c r="I2" s="171" t="n"/>
      <c r="J2" s="172" t="n"/>
      <c r="K2" s="2" t="n"/>
    </row>
    <row r="3" ht="50.25" customFormat="1" customHeight="1" s="23">
      <c r="A3" s="116" t="inlineStr">
        <is>
          <t>TIPO DE INDICADOR</t>
        </is>
      </c>
      <c r="B3" s="116" t="inlineStr">
        <is>
          <t>NOMBRE INDICADOR</t>
        </is>
      </c>
      <c r="C3" s="116" t="inlineStr">
        <is>
          <t>DEFINICIÓN</t>
        </is>
      </c>
      <c r="D3" s="116" t="inlineStr">
        <is>
          <t>FORMULA</t>
        </is>
      </c>
      <c r="E3" s="169" t="n"/>
      <c r="F3" s="116" t="inlineStr">
        <is>
          <t>RESPONSABLE</t>
        </is>
      </c>
      <c r="G3" s="116" t="inlineStr">
        <is>
          <t xml:space="preserve">FRECUENCIA DE MEDICIÓN </t>
        </is>
      </c>
      <c r="H3" s="116" t="inlineStr">
        <is>
          <t xml:space="preserve">UNIDAD </t>
        </is>
      </c>
      <c r="I3" s="22" t="inlineStr">
        <is>
          <t>INTERPRETACIÓN</t>
        </is>
      </c>
      <c r="J3" s="22" t="inlineStr">
        <is>
          <t>DIVULGACIÓN</t>
        </is>
      </c>
      <c r="K3" s="22" t="inlineStr">
        <is>
          <t>ENERO</t>
        </is>
      </c>
      <c r="L3" s="22" t="inlineStr">
        <is>
          <t>FEBRERO</t>
        </is>
      </c>
      <c r="M3" s="22" t="inlineStr">
        <is>
          <t>MARZO</t>
        </is>
      </c>
      <c r="N3" s="22" t="inlineStr">
        <is>
          <t>ABRIL</t>
        </is>
      </c>
      <c r="O3" s="22" t="inlineStr">
        <is>
          <t>MAYO</t>
        </is>
      </c>
      <c r="P3" s="22" t="inlineStr">
        <is>
          <t>JUNIO</t>
        </is>
      </c>
      <c r="Q3" s="22" t="inlineStr">
        <is>
          <t>JULIO</t>
        </is>
      </c>
      <c r="R3" s="22" t="inlineStr">
        <is>
          <t>AGOSTO</t>
        </is>
      </c>
      <c r="S3" s="22" t="inlineStr">
        <is>
          <t>SEPTIEMBRE</t>
        </is>
      </c>
      <c r="T3" s="22" t="inlineStr">
        <is>
          <t>OCTUBRE</t>
        </is>
      </c>
      <c r="U3" s="22" t="inlineStr">
        <is>
          <t>NOVIEMBRE</t>
        </is>
      </c>
      <c r="V3" s="22" t="inlineStr">
        <is>
          <t>DICIEMBRE</t>
        </is>
      </c>
    </row>
    <row r="4" ht="85.5" customHeight="1" s="89">
      <c r="A4" s="123" t="inlineStr">
        <is>
          <t>RESULTADO</t>
        </is>
      </c>
      <c r="B4" s="123" t="inlineStr">
        <is>
          <t xml:space="preserve"> Frecuencia de Accidentalidad</t>
        </is>
      </c>
      <c r="C4" s="123" t="inlineStr">
        <is>
          <t>Numero de veces que ocurre un accidente de trabajo  en el mes.</t>
        </is>
      </c>
      <c r="D4" s="117" t="inlineStr">
        <is>
          <t>(IFAT)  FA= (NUMERO DE ACCIDENTES DE TRABAJO QUE SE PRESENTARON EN EL MES / NUMERO DE TRABAJADORES EN EL MES) * 100</t>
        </is>
      </c>
      <c r="E4" s="169" t="n"/>
      <c r="F4" s="117" t="inlineStr">
        <is>
          <t>Coordinador de SST</t>
        </is>
      </c>
      <c r="G4" s="117" t="inlineStr">
        <is>
          <t>Mensual</t>
        </is>
      </c>
      <c r="H4" s="123" t="inlineStr">
        <is>
          <t>Número</t>
        </is>
      </c>
      <c r="I4" s="123" t="inlineStr">
        <is>
          <t>Por cada 100 trabajadores que laboraron en el mes se presentaron X Accidentes de trabajo</t>
        </is>
      </c>
      <c r="J4" s="117" t="n">
        <v>1</v>
      </c>
      <c r="K4" s="101">
        <f>0/12*100</f>
        <v/>
      </c>
      <c r="L4" s="102">
        <f>0/12*100</f>
        <v/>
      </c>
      <c r="M4" s="101">
        <f>0/11*100</f>
        <v/>
      </c>
      <c r="N4" s="101">
        <f>0/8*100</f>
        <v/>
      </c>
      <c r="O4" s="101">
        <f>0/10*100</f>
        <v/>
      </c>
      <c r="P4" s="101">
        <f>0/17*100</f>
        <v/>
      </c>
      <c r="Q4" s="101">
        <f>0/17*100</f>
        <v/>
      </c>
      <c r="R4" s="74">
        <f>(1/5)*100%</f>
        <v/>
      </c>
      <c r="S4" s="74">
        <f>0/6*100</f>
        <v/>
      </c>
      <c r="T4" s="74">
        <f>0/6*100</f>
        <v/>
      </c>
      <c r="U4" s="74">
        <f>0/7*100</f>
        <v/>
      </c>
      <c r="V4" s="74">
        <f>0/8*100</f>
        <v/>
      </c>
    </row>
    <row r="5" ht="71.25" customHeight="1" s="89">
      <c r="A5" s="119" t="inlineStr">
        <is>
          <t>RESULTADO</t>
        </is>
      </c>
      <c r="B5" s="119" t="inlineStr">
        <is>
          <t>Indice de Frecuencia de Accidentes de Trabajo con Incapacidad</t>
        </is>
      </c>
      <c r="C5" s="119" t="inlineStr">
        <is>
          <t>Expresa el total de AT incapacitantes ocurridos durante el ultimo año, por cada 100 trabajadores de tiempo completo.</t>
        </is>
      </c>
      <c r="D5" s="118" t="inlineStr">
        <is>
          <t>IFIAT= (N° DE A.T EN EL PERIODO CON INCAPACIDAD / N° HHT EN EL PERIODO)*K</t>
        </is>
      </c>
      <c r="E5" s="169" t="n"/>
      <c r="F5" s="118" t="inlineStr">
        <is>
          <t>Coordinador de SST</t>
        </is>
      </c>
      <c r="G5" s="118" t="inlineStr">
        <is>
          <t xml:space="preserve">Anual </t>
        </is>
      </c>
      <c r="H5" s="119" t="inlineStr">
        <is>
          <t>Número</t>
        </is>
      </c>
      <c r="I5" s="119" t="inlineStr">
        <is>
          <t>por cada 100 trabajadores, se presentan X Accidentes de Trabajo con incapacidad en el mes</t>
        </is>
      </c>
      <c r="J5" s="118" t="n">
        <v>1</v>
      </c>
      <c r="K5" s="73">
        <f>1/870*200000%</f>
        <v/>
      </c>
      <c r="L5" s="168" t="n"/>
      <c r="M5" s="168" t="n"/>
      <c r="N5" s="168" t="n"/>
      <c r="O5" s="168" t="n"/>
      <c r="P5" s="168" t="n"/>
      <c r="Q5" s="168" t="n"/>
      <c r="R5" s="168" t="n"/>
      <c r="S5" s="168" t="n"/>
      <c r="T5" s="168" t="n"/>
      <c r="U5" s="168" t="n"/>
      <c r="V5" s="169" t="n"/>
    </row>
    <row r="6" ht="85.5" customHeight="1" s="89">
      <c r="A6" s="119" t="inlineStr">
        <is>
          <t>RESULTADO</t>
        </is>
      </c>
      <c r="B6" s="119" t="inlineStr">
        <is>
          <t>Indice de Lesiones Incapacitantes por A.T</t>
        </is>
      </c>
      <c r="C6" s="119" t="inlineStr">
        <is>
          <t>Corresponde a la relacion entre los indices de frecuencia y severidad de Accidentes de Trabajo con Incapacidad. Es un indice global de comportamiento de lesiones incapacitantes que no tiene unidad, su utilidad radica en la comparacion entre diferentes periodos.</t>
        </is>
      </c>
      <c r="D6" s="119" t="inlineStr">
        <is>
          <t>ILIAT=IFIAT *ISAT/1000</t>
        </is>
      </c>
      <c r="E6" s="169" t="n"/>
      <c r="F6" s="118" t="inlineStr">
        <is>
          <t>Coordinador de SST</t>
        </is>
      </c>
      <c r="G6" s="118" t="inlineStr">
        <is>
          <t xml:space="preserve">Anual </t>
        </is>
      </c>
      <c r="H6" s="119" t="inlineStr">
        <is>
          <t>Número</t>
        </is>
      </c>
      <c r="I6" s="119" t="inlineStr">
        <is>
          <t>por cada 100 trabajadores, se presentan X Incapacidades por accidentes de  Trabajo en el mes</t>
        </is>
      </c>
      <c r="J6" s="118" t="n">
        <v>1</v>
      </c>
      <c r="K6" s="73">
        <f>230*1379/1000%</f>
        <v/>
      </c>
      <c r="L6" s="168" t="n"/>
      <c r="M6" s="168" t="n"/>
      <c r="N6" s="168" t="n"/>
      <c r="O6" s="168" t="n"/>
      <c r="P6" s="168" t="n"/>
      <c r="Q6" s="168" t="n"/>
      <c r="R6" s="168" t="n"/>
      <c r="S6" s="168" t="n"/>
      <c r="T6" s="168" t="n"/>
      <c r="U6" s="168" t="n"/>
      <c r="V6" s="169" t="n"/>
    </row>
    <row r="7" ht="70.90000000000001" customHeight="1" s="89">
      <c r="A7" s="123" t="inlineStr">
        <is>
          <t>RESULTADO</t>
        </is>
      </c>
      <c r="B7" s="123" t="inlineStr">
        <is>
          <t>Severidad de accidentalidad</t>
        </is>
      </c>
      <c r="C7" s="123" t="inlineStr">
        <is>
          <t>Numero de días perdidos por accidentes de trabajo en el mes.</t>
        </is>
      </c>
      <c r="D7" s="123" t="inlineStr">
        <is>
          <t>(Numero de días de incapacidad * accidentes de trabajo en el mes + numero de días cargados en el mes / Numero de trabajadores en el mes) * 100</t>
        </is>
      </c>
      <c r="E7" s="169" t="n"/>
      <c r="F7" s="117" t="inlineStr">
        <is>
          <t>Coordinador de SST</t>
        </is>
      </c>
      <c r="G7" s="123" t="inlineStr">
        <is>
          <t>Mensual</t>
        </is>
      </c>
      <c r="H7" s="123" t="inlineStr">
        <is>
          <t>Porcentaje</t>
        </is>
      </c>
      <c r="I7" s="123" t="inlineStr">
        <is>
          <t>Por cada 100 trabajadores  que laboraron en el mes, se perdieron X días accidente de trabajo.</t>
        </is>
      </c>
      <c r="J7" s="117" t="n">
        <v>1</v>
      </c>
      <c r="K7" s="74">
        <f>(0*0+30/12)*100%</f>
        <v/>
      </c>
      <c r="L7" s="74">
        <f>(0*0+30/12)*100%</f>
        <v/>
      </c>
      <c r="M7" s="74">
        <f>(0*0+30/11)*100%</f>
        <v/>
      </c>
      <c r="N7" s="71">
        <f>(0*0+30/8)*100%</f>
        <v/>
      </c>
      <c r="O7" s="71">
        <f>(0*0+30/10)*100%</f>
        <v/>
      </c>
      <c r="P7" s="71">
        <f>(0*0+30/5)*100%</f>
        <v/>
      </c>
      <c r="Q7" s="71">
        <f>(0*0+30/5)*100%</f>
        <v/>
      </c>
      <c r="R7" s="71">
        <f>(6*1+30/5)*100%</f>
        <v/>
      </c>
      <c r="S7" s="71">
        <f>(0*0+26/6)*100%</f>
        <v/>
      </c>
      <c r="T7" s="71">
        <f>0*0+25/6*100%</f>
        <v/>
      </c>
      <c r="U7" s="71">
        <f>0*0+26/7*100%</f>
        <v/>
      </c>
      <c r="V7" s="74">
        <f>(0*0+25/8)*100%</f>
        <v/>
      </c>
    </row>
    <row r="8" ht="114" customHeight="1" s="89">
      <c r="A8" s="8" t="inlineStr">
        <is>
          <t>RESULTADO</t>
        </is>
      </c>
      <c r="B8" s="8" t="inlineStr">
        <is>
          <t>Indice de Severidad del Ausentismo</t>
        </is>
      </c>
      <c r="C8" s="8" t="inlineStr">
        <is>
          <t>Es la relacion entre los dias de incapacidad por enfermedad comun y el total de HHT, multiplicado por 240.000</t>
        </is>
      </c>
      <c r="D8" s="124" t="inlineStr">
        <is>
          <t xml:space="preserve">ISA=N° DIAS DE AUSENCIA POR CAUSA DE SALUD DURANTE EL ULTIMO AÑO / N° HORAS HOMBRE PROGRAMADAS EN EL AÑO * 240.000                                </t>
        </is>
      </c>
      <c r="E8" s="169" t="n"/>
      <c r="F8" s="124" t="inlineStr">
        <is>
          <t>Coordinador de SST</t>
        </is>
      </c>
      <c r="G8" s="8" t="inlineStr">
        <is>
          <t xml:space="preserve">Anual </t>
        </is>
      </c>
      <c r="H8" s="8" t="inlineStr">
        <is>
          <t>Número</t>
        </is>
      </c>
      <c r="I8" s="8" t="inlineStr">
        <is>
          <t>por XXXX horas programadas en el año se pierden XXX dias por incapacidad de enfermedad comun ( XXX horas)</t>
        </is>
      </c>
      <c r="J8" s="74" t="n">
        <v>1</v>
      </c>
      <c r="K8" s="173">
        <f>(6/14243)*240000%</f>
        <v/>
      </c>
      <c r="L8" s="171" t="n"/>
      <c r="M8" s="171" t="n"/>
      <c r="N8" s="171" t="n"/>
      <c r="O8" s="171" t="n"/>
      <c r="P8" s="171" t="n"/>
      <c r="Q8" s="171" t="n"/>
      <c r="R8" s="171" t="n"/>
      <c r="S8" s="171" t="n"/>
      <c r="T8" s="171" t="n"/>
      <c r="U8" s="171" t="n"/>
      <c r="V8" s="172" t="n"/>
    </row>
    <row r="9" ht="114" customHeight="1" s="89">
      <c r="A9" s="123" t="inlineStr">
        <is>
          <t>RESULTADO</t>
        </is>
      </c>
      <c r="B9" s="123" t="inlineStr">
        <is>
          <t>Proporción de accidentes de trabajos mortales.</t>
        </is>
      </c>
      <c r="C9" s="123" t="inlineStr">
        <is>
          <t>Numero de accidentes de trabajo mortales en el año.</t>
        </is>
      </c>
      <c r="D9" s="117" t="inlineStr">
        <is>
          <t>(Numero de accidentes de trabajo mortales que se presentaron  en el año / Total accidentes de trabajo que se presentaron en el año) * 100</t>
        </is>
      </c>
      <c r="E9" s="169" t="n"/>
      <c r="F9" s="117" t="inlineStr">
        <is>
          <t>Coordinador de SST</t>
        </is>
      </c>
      <c r="G9" s="123" t="inlineStr">
        <is>
          <t xml:space="preserve">Anual </t>
        </is>
      </c>
      <c r="H9" s="123" t="inlineStr">
        <is>
          <t>Porcentaje</t>
        </is>
      </c>
      <c r="I9" s="123" t="inlineStr">
        <is>
          <t>En el año el X%   de accidentes de trabajo fueron mortales.</t>
        </is>
      </c>
      <c r="J9" s="74" t="n">
        <v>1</v>
      </c>
      <c r="K9" s="173">
        <f>(0/1)*100%</f>
        <v/>
      </c>
      <c r="L9" s="171" t="n"/>
      <c r="M9" s="171" t="n"/>
      <c r="N9" s="171" t="n"/>
      <c r="O9" s="171" t="n"/>
      <c r="P9" s="171" t="n"/>
      <c r="Q9" s="171" t="n"/>
      <c r="R9" s="171" t="n"/>
      <c r="S9" s="171" t="n"/>
      <c r="T9" s="171" t="n"/>
      <c r="U9" s="171" t="n"/>
      <c r="V9" s="172" t="n"/>
    </row>
    <row r="10" ht="114" customHeight="1" s="89">
      <c r="A10" s="123" t="inlineStr">
        <is>
          <t>RESULTADO</t>
        </is>
      </c>
      <c r="B10" s="123" t="inlineStr">
        <is>
          <t>Prevalencía de la enfermedad laboral</t>
        </is>
      </c>
      <c r="C10" s="123" t="inlineStr">
        <is>
          <t>Numero de casos de enfermedades laborales presentes en una población en un periodo de tiempo.</t>
        </is>
      </c>
      <c r="D10" s="117" t="inlineStr">
        <is>
          <t>(NUMERO DE CASOS NUEVOS Y ANTIGUOS DE ENFERMADA LABORAL EN EL PERIODO “Z” / PROMEDIO DE TRABAJADORES EN EL PERIODO “Z”) * 100.000</t>
        </is>
      </c>
      <c r="E10" s="169" t="n"/>
      <c r="F10" s="117" t="inlineStr">
        <is>
          <t>Coordinador de SST</t>
        </is>
      </c>
      <c r="G10" s="123" t="inlineStr">
        <is>
          <t xml:space="preserve">Anual </t>
        </is>
      </c>
      <c r="H10" s="123" t="inlineStr">
        <is>
          <t>Porcentaje</t>
        </is>
      </c>
      <c r="I10" s="123" t="inlineStr">
        <is>
          <t>Por cada 100.000 trabajadores existen X casos de enfermedad laboral en el periodo Z.</t>
        </is>
      </c>
      <c r="J10" s="74" t="n">
        <v>1</v>
      </c>
      <c r="K10" s="173">
        <f>(0/8)*100000%</f>
        <v/>
      </c>
      <c r="L10" s="171" t="n"/>
      <c r="M10" s="171" t="n"/>
      <c r="N10" s="171" t="n"/>
      <c r="O10" s="171" t="n"/>
      <c r="P10" s="171" t="n"/>
      <c r="Q10" s="171" t="n"/>
      <c r="R10" s="171" t="n"/>
      <c r="S10" s="171" t="n"/>
      <c r="T10" s="171" t="n"/>
      <c r="U10" s="171" t="n"/>
      <c r="V10" s="172" t="n"/>
    </row>
    <row r="11" ht="114" customHeight="1" s="89">
      <c r="A11" s="123" t="inlineStr">
        <is>
          <t>RESULTADO</t>
        </is>
      </c>
      <c r="B11" s="123" t="inlineStr">
        <is>
          <t>Incidencia de la enfermedad laboral.</t>
        </is>
      </c>
      <c r="C11" s="123" t="inlineStr">
        <is>
          <t>Numero de casos nuevos de enfermedad laboral en una población determinada en un periodo de tiempo.</t>
        </is>
      </c>
      <c r="D11" s="117" t="inlineStr">
        <is>
          <t xml:space="preserve">(NUMERO DE CASOS NUEVOS DE ENFERMEDAD LABORAL EN EL PERIODO “Z” / PROMEDIO DE TRABAJADORES EN EL PERIODO “Z”   * 100.00 </t>
        </is>
      </c>
      <c r="E11" s="169" t="n"/>
      <c r="F11" s="117" t="inlineStr">
        <is>
          <t>Coordinador de SST</t>
        </is>
      </c>
      <c r="G11" s="123" t="inlineStr">
        <is>
          <t xml:space="preserve">Anual </t>
        </is>
      </c>
      <c r="H11" s="123" t="n"/>
      <c r="I11" s="123" t="inlineStr">
        <is>
          <t>Por cada 100.000 trabajadores existen X casos nuevo de enfermedad laboral en el periodo Z.</t>
        </is>
      </c>
      <c r="J11" s="74" t="n">
        <v>1</v>
      </c>
      <c r="K11" s="173">
        <f>(0/8)*100000%</f>
        <v/>
      </c>
      <c r="L11" s="171" t="n"/>
      <c r="M11" s="171" t="n"/>
      <c r="N11" s="171" t="n"/>
      <c r="O11" s="171" t="n"/>
      <c r="P11" s="171" t="n"/>
      <c r="Q11" s="171" t="n"/>
      <c r="R11" s="171" t="n"/>
      <c r="S11" s="171" t="n"/>
      <c r="T11" s="171" t="n"/>
      <c r="U11" s="171" t="n"/>
      <c r="V11" s="172" t="n"/>
    </row>
    <row r="12" ht="114" customHeight="1" s="89">
      <c r="A12" s="123" t="inlineStr">
        <is>
          <t>RESULTADO</t>
        </is>
      </c>
      <c r="B12" s="123" t="inlineStr">
        <is>
          <t>Ausentismos por causas medica</t>
        </is>
      </c>
      <c r="C12" s="123" t="inlineStr">
        <is>
          <t>Ausentismo es la no asistencia al trabajo, con incapacidad médica.</t>
        </is>
      </c>
      <c r="D12" s="117" t="inlineStr">
        <is>
          <t>(NUMERO DE DÍAS DE AUSENCIA POR INCAPACIDAD LABORAL O COMÚN EN EL MES  / NUMERO DE DÍAS DE TRABAJO PROGRAMADOS EN EL MES) * 100</t>
        </is>
      </c>
      <c r="E12" s="169" t="n"/>
      <c r="F12" s="117" t="inlineStr">
        <is>
          <t>Coordinador de SST</t>
        </is>
      </c>
      <c r="G12" s="123" t="inlineStr">
        <is>
          <t>Mensual</t>
        </is>
      </c>
      <c r="H12" s="123" t="n"/>
      <c r="I12" s="123" t="inlineStr">
        <is>
          <t>En el mes se perdió X% de días programados de trabajo por incapacidad médica.</t>
        </is>
      </c>
      <c r="J12" s="74" t="n">
        <v>1</v>
      </c>
      <c r="K12" s="73">
        <f>(17/30)*100%</f>
        <v/>
      </c>
      <c r="L12" s="73">
        <f>(0/30)*100</f>
        <v/>
      </c>
      <c r="M12" s="73">
        <f>(0/30)*100</f>
        <v/>
      </c>
      <c r="N12" s="71">
        <f>(0/30)*100</f>
        <v/>
      </c>
      <c r="O12" s="71">
        <f>(0/30)*100</f>
        <v/>
      </c>
      <c r="P12" s="71">
        <f>(0/30)*100%</f>
        <v/>
      </c>
      <c r="Q12" s="71">
        <f>(0/30)*100%</f>
        <v/>
      </c>
      <c r="R12" s="71">
        <f>(6/30)*100%</f>
        <v/>
      </c>
      <c r="S12" s="74">
        <f>(0/26)*100%</f>
        <v/>
      </c>
      <c r="T12" s="74">
        <f>(0/25)*100</f>
        <v/>
      </c>
      <c r="U12" s="74">
        <f>(0/26)*100%</f>
        <v/>
      </c>
      <c r="V12" s="74">
        <f>(0/25)*100%</f>
        <v/>
      </c>
    </row>
    <row r="13" ht="70.5" customHeight="1" s="89">
      <c r="A13" s="10" t="inlineStr">
        <is>
          <t>RESULTADO</t>
        </is>
      </c>
      <c r="B13" s="10" t="inlineStr">
        <is>
          <t>Cobertura Inducción</t>
        </is>
      </c>
      <c r="C13" s="10" t="inlineStr">
        <is>
          <t>Muestra el porcentaje de personas que reciben la inducción</t>
        </is>
      </c>
      <c r="D13" s="119" t="inlineStr">
        <is>
          <t>Número de personas que asisten a la inducción / Número de personas que ingresan en el periodo *100</t>
        </is>
      </c>
      <c r="E13" s="169" t="n"/>
      <c r="F13" s="11" t="inlineStr">
        <is>
          <t>Coordinador de SST</t>
        </is>
      </c>
      <c r="G13" s="10" t="inlineStr">
        <is>
          <t>Mensual</t>
        </is>
      </c>
      <c r="H13" s="10" t="inlineStr">
        <is>
          <t>Porcentaje</t>
        </is>
      </c>
      <c r="I13" s="10" t="inlineStr">
        <is>
          <t>XX % de las personas nuevas asistieron a la induccion</t>
        </is>
      </c>
      <c r="J13" s="19" t="n">
        <v>1</v>
      </c>
      <c r="K13" s="20">
        <f>(1/1)*100%</f>
        <v/>
      </c>
      <c r="L13" s="74">
        <f>(1/1)*100%</f>
        <v/>
      </c>
      <c r="M13" s="74" t="n">
        <v>0</v>
      </c>
      <c r="N13" s="71">
        <f>(2/2)*100%</f>
        <v/>
      </c>
      <c r="O13" s="74">
        <f>(1/1)*100%</f>
        <v/>
      </c>
      <c r="P13" s="71" t="n">
        <v>0</v>
      </c>
      <c r="Q13" s="71" t="n">
        <v>0</v>
      </c>
      <c r="R13" s="71" t="n">
        <v>0</v>
      </c>
      <c r="S13" s="74" t="n">
        <v>0</v>
      </c>
      <c r="T13" s="74">
        <f>(4/4)*100%</f>
        <v/>
      </c>
      <c r="U13" s="74">
        <f>1/1*100%</f>
        <v/>
      </c>
      <c r="V13" s="74">
        <f>2/2*100%</f>
        <v/>
      </c>
    </row>
    <row r="14" ht="70.5" customHeight="1" s="89">
      <c r="A14" s="119" t="inlineStr">
        <is>
          <t>RESULTADO</t>
        </is>
      </c>
      <c r="B14" s="119" t="inlineStr">
        <is>
          <t>%Inspecciones realizadas</t>
        </is>
      </c>
      <c r="C14" s="119" t="inlineStr">
        <is>
          <t xml:space="preserve">Muestra el porcentaje de Inspecciones </t>
        </is>
      </c>
      <c r="D14" s="119" t="inlineStr">
        <is>
          <t xml:space="preserve"> Número de inspecciones realizadas / 
  Número de inspecciones planeadas * 100 </t>
        </is>
      </c>
      <c r="E14" s="169" t="n"/>
      <c r="F14" s="118" t="inlineStr">
        <is>
          <t>Coordinador de SST</t>
        </is>
      </c>
      <c r="G14" s="119" t="inlineStr">
        <is>
          <t>Mensual</t>
        </is>
      </c>
      <c r="H14" s="119" t="inlineStr">
        <is>
          <t>Porcentaje</t>
        </is>
      </c>
      <c r="I14" s="119" t="inlineStr">
        <is>
          <t>El XX% de las inspecciones planeadas se realizaron</t>
        </is>
      </c>
      <c r="J14" s="74" t="n">
        <v>1</v>
      </c>
      <c r="K14" s="74">
        <f>(8/10)*100%</f>
        <v/>
      </c>
      <c r="L14" s="74">
        <f>(8/8)*100%</f>
        <v/>
      </c>
      <c r="M14" s="74">
        <f>(10/10)*100%</f>
        <v/>
      </c>
      <c r="N14" s="74">
        <f>(10/10)*100%</f>
        <v/>
      </c>
      <c r="O14" s="74">
        <f>(7/8)*100%</f>
        <v/>
      </c>
      <c r="P14" s="74">
        <f>(11/11)*100%</f>
        <v/>
      </c>
      <c r="Q14" s="74">
        <f>(12/12)*100%</f>
        <v/>
      </c>
      <c r="R14" s="74">
        <f>(12/12)*100%</f>
        <v/>
      </c>
      <c r="S14" s="74">
        <f>(12/12)*100%</f>
        <v/>
      </c>
      <c r="T14" s="74">
        <f>12/12*100%</f>
        <v/>
      </c>
      <c r="U14" s="74">
        <f>12/12*100%</f>
        <v/>
      </c>
      <c r="V14" s="74">
        <f>12/12*100%</f>
        <v/>
      </c>
    </row>
    <row r="15" ht="61.5" customHeight="1" s="89">
      <c r="A15" s="119" t="inlineStr">
        <is>
          <t>RESULTADO</t>
        </is>
      </c>
      <c r="B15" s="119" t="inlineStr">
        <is>
          <t>Acciones correctivas</t>
        </is>
      </c>
      <c r="C15" s="119" t="inlineStr">
        <is>
          <t xml:space="preserve">Muestra el porcentaje de acciones correctivas realizadas </t>
        </is>
      </c>
      <c r="D15" s="119" t="inlineStr">
        <is>
          <t>Acciones correctivas realizadas /Número de No Conformidades encontradas * 100</t>
        </is>
      </c>
      <c r="E15" s="169" t="n"/>
      <c r="F15" s="118" t="inlineStr">
        <is>
          <t>Coordinador de SST</t>
        </is>
      </c>
      <c r="G15" s="119" t="inlineStr">
        <is>
          <t xml:space="preserve">Anual </t>
        </is>
      </c>
      <c r="H15" s="119" t="inlineStr">
        <is>
          <t>Porcentaje</t>
        </is>
      </c>
      <c r="I15" s="119" t="inlineStr">
        <is>
          <t xml:space="preserve"> XX% de las no conformidades tienen acciones    X       correctivas</t>
        </is>
      </c>
      <c r="J15" s="74" t="n">
        <v>1</v>
      </c>
      <c r="K15" s="173">
        <f>3/3*100%</f>
        <v/>
      </c>
      <c r="L15" s="171" t="n"/>
      <c r="M15" s="171" t="n"/>
      <c r="N15" s="171" t="n"/>
      <c r="O15" s="171" t="n"/>
      <c r="P15" s="171" t="n"/>
      <c r="Q15" s="171" t="n"/>
      <c r="R15" s="171" t="n"/>
      <c r="S15" s="171" t="n"/>
      <c r="T15" s="171" t="n"/>
      <c r="U15" s="171" t="n"/>
      <c r="V15" s="172" t="n"/>
    </row>
    <row r="16" ht="81.75" customHeight="1" s="89">
      <c r="A16" s="12" t="inlineStr">
        <is>
          <t>ESTRUCTURA</t>
        </is>
      </c>
      <c r="B16" s="12" t="inlineStr">
        <is>
          <t>Política de SST</t>
        </is>
      </c>
      <c r="C16" s="12" t="inlineStr">
        <is>
          <t>Divulgación de la política de SST</t>
        </is>
      </c>
      <c r="D16" s="125" t="inlineStr">
        <is>
          <t>Fecha: 02/02/2026</t>
        </is>
      </c>
      <c r="E16" s="169" t="n"/>
      <c r="F16" s="125" t="inlineStr">
        <is>
          <t>Coordinador de SST</t>
        </is>
      </c>
      <c r="G16" s="14" t="inlineStr">
        <is>
          <t xml:space="preserve">Anual </t>
        </is>
      </c>
      <c r="H16" s="15" t="inlineStr">
        <is>
          <t>Cumplimiento</t>
        </is>
      </c>
      <c r="I16" s="12" t="inlineStr">
        <is>
          <t>Fecha: 02/02/2026</t>
        </is>
      </c>
      <c r="J16" s="74" t="n">
        <v>1</v>
      </c>
      <c r="K16" s="74" t="n">
        <v>1</v>
      </c>
      <c r="L16" s="168" t="n"/>
      <c r="M16" s="168" t="n"/>
      <c r="N16" s="168" t="n"/>
      <c r="O16" s="168" t="n"/>
      <c r="P16" s="168" t="n"/>
      <c r="Q16" s="168" t="n"/>
      <c r="R16" s="168" t="n"/>
      <c r="S16" s="168" t="n"/>
      <c r="T16" s="168" t="n"/>
      <c r="U16" s="168" t="n"/>
      <c r="V16" s="169" t="n"/>
    </row>
    <row r="17" ht="72" customHeight="1" s="89">
      <c r="A17" s="12" t="inlineStr">
        <is>
          <t>ESTRUCTURA</t>
        </is>
      </c>
      <c r="B17" s="12" t="inlineStr">
        <is>
          <t>Objetivos y metas</t>
        </is>
      </c>
      <c r="C17" s="12" t="inlineStr">
        <is>
          <t>Objetivos y metas de seguridad divulgados</t>
        </is>
      </c>
      <c r="D17" s="125" t="inlineStr">
        <is>
          <t>Objetivos y metas de seguridad  escritos y divulgados.</t>
        </is>
      </c>
      <c r="E17" s="169" t="n"/>
      <c r="F17" s="125" t="inlineStr">
        <is>
          <t xml:space="preserve">Coordinador de SST
Gerencia </t>
        </is>
      </c>
      <c r="G17" s="14" t="inlineStr">
        <is>
          <t>Mensual</t>
        </is>
      </c>
      <c r="H17" s="15" t="inlineStr">
        <is>
          <t>Cumplimiento</t>
        </is>
      </c>
      <c r="I17" s="12" t="inlineStr">
        <is>
          <t>Los objetivos y metas de seguridad  se encuentran escritos y divulgados.</t>
        </is>
      </c>
      <c r="J17" s="74" t="n">
        <v>1</v>
      </c>
      <c r="K17" s="74" t="n">
        <v>1</v>
      </c>
      <c r="L17" s="74" t="n">
        <v>1</v>
      </c>
      <c r="M17" s="74" t="n">
        <v>1</v>
      </c>
      <c r="N17" s="74" t="n">
        <v>1</v>
      </c>
      <c r="O17" s="74" t="n">
        <v>1</v>
      </c>
      <c r="P17" s="74" t="n">
        <v>1</v>
      </c>
      <c r="Q17" s="74" t="n">
        <v>1</v>
      </c>
      <c r="R17" s="71" t="n">
        <v>0.9</v>
      </c>
      <c r="S17" s="71" t="n">
        <v>1</v>
      </c>
      <c r="T17" s="71" t="n">
        <v>1</v>
      </c>
      <c r="U17" s="71" t="n">
        <v>1</v>
      </c>
      <c r="V17" s="71" t="n">
        <v>1</v>
      </c>
    </row>
    <row r="18" ht="67.5" customHeight="1" s="89">
      <c r="A18" s="14" t="inlineStr">
        <is>
          <t>ESTRUCTURA</t>
        </is>
      </c>
      <c r="B18" s="12" t="inlineStr">
        <is>
          <t>Responsabilidades</t>
        </is>
      </c>
      <c r="C18" s="12" t="inlineStr">
        <is>
          <t>Asignación de responsabilidades</t>
        </is>
      </c>
      <c r="D18" s="125" t="inlineStr">
        <is>
          <t>N° total de Jefes con delegación de responsabilidad en SGSST/Total de Jefes de la estructura.</t>
        </is>
      </c>
      <c r="E18" s="169" t="n"/>
      <c r="F18" s="125" t="inlineStr">
        <is>
          <t>Coordinador de SST</t>
        </is>
      </c>
      <c r="G18" s="14" t="inlineStr">
        <is>
          <t xml:space="preserve">Anual </t>
        </is>
      </c>
      <c r="H18" s="15" t="inlineStr">
        <is>
          <t>Número</t>
        </is>
      </c>
      <c r="I18" s="12" t="inlineStr">
        <is>
          <t>Número total de Jefes con responsabilidades</t>
        </is>
      </c>
      <c r="J18" s="74" t="n">
        <v>1</v>
      </c>
      <c r="K18" s="173">
        <f>8/8</f>
        <v/>
      </c>
      <c r="L18" s="171" t="n"/>
      <c r="M18" s="171" t="n"/>
      <c r="N18" s="171" t="n"/>
      <c r="O18" s="171" t="n"/>
      <c r="P18" s="171" t="n"/>
      <c r="Q18" s="171" t="n"/>
      <c r="R18" s="171" t="n"/>
      <c r="S18" s="171" t="n"/>
      <c r="T18" s="171" t="n"/>
      <c r="U18" s="171" t="n"/>
      <c r="V18" s="172" t="n"/>
    </row>
    <row r="19" ht="65.25" customHeight="1" s="89">
      <c r="A19" s="14" t="inlineStr">
        <is>
          <t>ESTRUCTURA</t>
        </is>
      </c>
      <c r="B19" s="12" t="inlineStr">
        <is>
          <t>Identificación de peligros y riesgos</t>
        </is>
      </c>
      <c r="C19" s="12" t="inlineStr">
        <is>
          <t>Método definido para la identificación de peligros</t>
        </is>
      </c>
      <c r="D19" s="125" t="inlineStr">
        <is>
          <t>Método definido para la identificación de peligros.</t>
        </is>
      </c>
      <c r="E19" s="169" t="n"/>
      <c r="F19" s="125" t="inlineStr">
        <is>
          <t>Coordinador de SST</t>
        </is>
      </c>
      <c r="G19" s="14" t="inlineStr">
        <is>
          <t xml:space="preserve">Anual </t>
        </is>
      </c>
      <c r="H19" s="15" t="inlineStr">
        <is>
          <t>Cumplimiento</t>
        </is>
      </c>
      <c r="I19" s="12" t="inlineStr">
        <is>
          <t>Indentificación de peligros realizado</t>
        </is>
      </c>
      <c r="J19" s="74" t="n">
        <v>1</v>
      </c>
      <c r="K19" s="174" t="n">
        <v>1</v>
      </c>
      <c r="L19" s="171" t="n"/>
      <c r="M19" s="171" t="n"/>
      <c r="N19" s="171" t="n"/>
      <c r="O19" s="171" t="n"/>
      <c r="P19" s="171" t="n"/>
      <c r="Q19" s="171" t="n"/>
      <c r="R19" s="171" t="n"/>
      <c r="S19" s="171" t="n"/>
      <c r="T19" s="171" t="n"/>
      <c r="U19" s="171" t="n"/>
      <c r="V19" s="172" t="n"/>
    </row>
    <row r="20" ht="75" customHeight="1" s="89">
      <c r="A20" s="14" t="inlineStr">
        <is>
          <t>ESTRUCTURA</t>
        </is>
      </c>
      <c r="B20" s="12" t="inlineStr">
        <is>
          <t>Funcionamiento del Copasst</t>
        </is>
      </c>
      <c r="C20" s="12" t="inlineStr">
        <is>
          <t>Funcionamiento del COPASST</t>
        </is>
      </c>
      <c r="D20" s="125" t="inlineStr">
        <is>
          <t>La empresa cuenta con un COPASST en funcionamiento y con delegación de funciones.</t>
        </is>
      </c>
      <c r="E20" s="169" t="n"/>
      <c r="F20" s="125" t="inlineStr">
        <is>
          <t>Copasst</t>
        </is>
      </c>
      <c r="G20" s="14" t="inlineStr">
        <is>
          <t>Semestral</t>
        </is>
      </c>
      <c r="H20" s="15" t="inlineStr">
        <is>
          <t>Número</t>
        </is>
      </c>
      <c r="I20" s="12" t="inlineStr">
        <is>
          <t>Número de reuniones anuales del Copasst</t>
        </is>
      </c>
      <c r="J20" s="74" t="n">
        <v>1</v>
      </c>
      <c r="K20" s="71" t="n">
        <v>1</v>
      </c>
      <c r="L20" s="168" t="n"/>
      <c r="M20" s="168" t="n"/>
      <c r="N20" s="168" t="n"/>
      <c r="O20" s="168" t="n"/>
      <c r="P20" s="169" t="n"/>
      <c r="Q20" s="71" t="n">
        <v>1</v>
      </c>
      <c r="R20" s="168" t="n"/>
      <c r="S20" s="168" t="n"/>
      <c r="T20" s="168" t="n"/>
      <c r="U20" s="168" t="n"/>
      <c r="V20" s="169" t="n"/>
    </row>
    <row r="21" ht="64.5" customHeight="1" s="89">
      <c r="A21" s="14" t="inlineStr">
        <is>
          <t>ESTRUCTURA</t>
        </is>
      </c>
      <c r="B21" s="12" t="inlineStr">
        <is>
          <t>Capacitación en SST</t>
        </is>
      </c>
      <c r="C21" s="12" t="inlineStr">
        <is>
          <t>Áreas con Plan de capacitación anual en SST</t>
        </is>
      </c>
      <c r="D21" s="125" t="inlineStr">
        <is>
          <t>N° de Áreas con plan de capacitación anual en SST/Total de áreas</t>
        </is>
      </c>
      <c r="E21" s="169" t="n"/>
      <c r="F21" s="125" t="inlineStr">
        <is>
          <t>Coordinador de SST</t>
        </is>
      </c>
      <c r="G21" s="14" t="inlineStr">
        <is>
          <t xml:space="preserve">Anual </t>
        </is>
      </c>
      <c r="H21" s="12" t="inlineStr">
        <is>
          <t>Porcentaje</t>
        </is>
      </c>
      <c r="I21" s="12" t="inlineStr">
        <is>
          <t xml:space="preserve"> XX% de personas capacitadas</t>
        </is>
      </c>
      <c r="J21" s="74" t="n">
        <v>1</v>
      </c>
      <c r="K21" s="173">
        <f>2/2</f>
        <v/>
      </c>
      <c r="L21" s="171" t="n"/>
      <c r="M21" s="171" t="n"/>
      <c r="N21" s="171" t="n"/>
      <c r="O21" s="171" t="n"/>
      <c r="P21" s="171" t="n"/>
      <c r="Q21" s="171" t="n"/>
      <c r="R21" s="171" t="n"/>
      <c r="S21" s="171" t="n"/>
      <c r="T21" s="171" t="n"/>
      <c r="U21" s="171" t="n"/>
      <c r="V21" s="172" t="n"/>
    </row>
    <row r="22" ht="57" customHeight="1" s="89">
      <c r="A22" s="16" t="inlineStr">
        <is>
          <t>PROCESO</t>
        </is>
      </c>
      <c r="B22" s="17" t="inlineStr">
        <is>
          <t>Autoevaluación</t>
        </is>
      </c>
      <c r="C22" s="17" t="inlineStr">
        <is>
          <t>Evaluación inicial del SG-SST</t>
        </is>
      </c>
      <c r="D22" s="126" t="inlineStr">
        <is>
          <t>SUMATORIA DE PORCENTAJE POR CADA UNO DE LOS ITEMS EVALUADOS</t>
        </is>
      </c>
      <c r="E22" s="169" t="n"/>
      <c r="F22" s="126" t="inlineStr">
        <is>
          <t>Coordinador de SST
Copasst 
Otras áreas</t>
        </is>
      </c>
      <c r="G22" s="16" t="inlineStr">
        <is>
          <t>Semestral</t>
        </is>
      </c>
      <c r="H22" s="17" t="inlineStr">
        <is>
          <t>Porcentaje</t>
        </is>
      </c>
      <c r="I22" s="17" t="inlineStr">
        <is>
          <t xml:space="preserve"> XX% de cumplimiento del SG SST</t>
        </is>
      </c>
      <c r="J22" s="74" t="n">
        <v>1</v>
      </c>
      <c r="K22" s="173" t="n">
        <v>0.825</v>
      </c>
      <c r="L22" s="171" t="n"/>
      <c r="M22" s="171" t="n"/>
      <c r="N22" s="171" t="n"/>
      <c r="O22" s="171" t="n"/>
      <c r="P22" s="172" t="n"/>
      <c r="Q22" s="173" t="n">
        <v>0.9399999999999999</v>
      </c>
      <c r="R22" s="171" t="n"/>
      <c r="S22" s="171" t="n"/>
      <c r="T22" s="171" t="n"/>
      <c r="U22" s="171" t="n"/>
      <c r="V22" s="172" t="n"/>
    </row>
    <row r="23" ht="86.25" customHeight="1" s="89">
      <c r="A23" s="16" t="inlineStr">
        <is>
          <t>PROCESO</t>
        </is>
      </c>
      <c r="B23" s="17" t="inlineStr">
        <is>
          <t>Ejecución del plan de trabajo</t>
        </is>
      </c>
      <c r="C23" s="17" t="inlineStr">
        <is>
          <t>Ejecución del plan de trabajo en el SGSST</t>
        </is>
      </c>
      <c r="D23" s="126" t="inlineStr">
        <is>
          <t>(N° DE ACTIVIDADES DESARROLLADAS  EN EL PERIODOEN EL PLAN / N° DE ACTIVIDADES PROPUESTASEN EL PERIODO EN EL PLAN DE TRABAJO) X 100</t>
        </is>
      </c>
      <c r="E23" s="169" t="n"/>
      <c r="F23" s="126" t="inlineStr">
        <is>
          <t>Coordinador de SST</t>
        </is>
      </c>
      <c r="G23" s="16" t="inlineStr">
        <is>
          <t>Semestral</t>
        </is>
      </c>
      <c r="H23" s="17" t="inlineStr">
        <is>
          <t>Porcentaje</t>
        </is>
      </c>
      <c r="I23" s="17" t="inlineStr">
        <is>
          <t xml:space="preserve"> XX% de actividades cumplidas del plan de trabajo</t>
        </is>
      </c>
      <c r="J23" s="74" t="n">
        <v>1</v>
      </c>
      <c r="K23" s="173">
        <f>(99/116)*100%</f>
        <v/>
      </c>
      <c r="L23" s="171" t="n"/>
      <c r="M23" s="171" t="n"/>
      <c r="N23" s="171" t="n"/>
      <c r="O23" s="171" t="n"/>
      <c r="P23" s="172" t="n"/>
      <c r="Q23" s="173" t="n">
        <v>0.96</v>
      </c>
      <c r="R23" s="171" t="n"/>
      <c r="S23" s="171" t="n"/>
      <c r="T23" s="171" t="n"/>
      <c r="U23" s="171" t="n"/>
      <c r="V23" s="172" t="n"/>
    </row>
    <row r="24" ht="75" customHeight="1" s="89">
      <c r="A24" s="16" t="inlineStr">
        <is>
          <t>PROCESO</t>
        </is>
      </c>
      <c r="B24" s="17" t="inlineStr">
        <is>
          <t>Intervención de peligros y riesgos</t>
        </is>
      </c>
      <c r="C24" s="17" t="inlineStr">
        <is>
          <t>Intervención de los peligros identificados</t>
        </is>
      </c>
      <c r="D24" s="126" t="inlineStr">
        <is>
          <t>N° TOTAL DE PELIGROS INTERVENIDOS EN EL PERIODO/TOTAL DE PELIGROS IDENTIFICADOS</t>
        </is>
      </c>
      <c r="E24" s="169" t="n"/>
      <c r="F24" s="126" t="inlineStr">
        <is>
          <t>Coordinador de SST</t>
        </is>
      </c>
      <c r="G24" s="16" t="inlineStr">
        <is>
          <t>Semestral</t>
        </is>
      </c>
      <c r="H24" s="17" t="inlineStr">
        <is>
          <t>Porcentaje</t>
        </is>
      </c>
      <c r="I24" s="17" t="inlineStr">
        <is>
          <t xml:space="preserve"> XX% de peligros intervenidos</t>
        </is>
      </c>
      <c r="J24" s="74" t="n">
        <v>1</v>
      </c>
      <c r="K24" s="173">
        <f>1/1</f>
        <v/>
      </c>
      <c r="L24" s="171" t="n"/>
      <c r="M24" s="171" t="n"/>
      <c r="N24" s="171" t="n"/>
      <c r="O24" s="171" t="n"/>
      <c r="P24" s="172" t="n"/>
      <c r="Q24" s="173">
        <f>1/1</f>
        <v/>
      </c>
      <c r="R24" s="171" t="n"/>
      <c r="S24" s="171" t="n"/>
      <c r="T24" s="171" t="n"/>
      <c r="U24" s="171" t="n"/>
      <c r="V24" s="172" t="n"/>
    </row>
    <row r="25" ht="57" customHeight="1" s="89">
      <c r="A25" s="16" t="inlineStr">
        <is>
          <t>PROCESO</t>
        </is>
      </c>
      <c r="B25" s="17" t="inlineStr">
        <is>
          <t>Plan de accidentalidad</t>
        </is>
      </c>
      <c r="C25" s="17" t="inlineStr">
        <is>
          <t>Ejecución del plan de intervención de la accidentalidad</t>
        </is>
      </c>
      <c r="D25" s="126" t="inlineStr">
        <is>
          <t>N° DE ACTIVIDADES DESARROLLADAS EN LA INTERVENCIÓN DE LOS RIESGOS PRIORITARIOS/ACTIVIDADES PROPUESTAS PARA LA INTERVENCIÓN  DE LOS RIESGOS PRIORITARIOS</t>
        </is>
      </c>
      <c r="E25" s="169" t="n"/>
      <c r="F25" s="126" t="inlineStr">
        <is>
          <t>Jefes de Área
COPASST
Área de Gestión de la SST</t>
        </is>
      </c>
      <c r="G25" s="16" t="inlineStr">
        <is>
          <t>Semestral</t>
        </is>
      </c>
      <c r="H25" s="17" t="inlineStr">
        <is>
          <t>Porcentaje</t>
        </is>
      </c>
      <c r="I25" s="17" t="inlineStr">
        <is>
          <t xml:space="preserve"> XX% de actividades cumplidas del plan de intervención de riesgos</t>
        </is>
      </c>
      <c r="J25" s="74" t="n">
        <v>1</v>
      </c>
      <c r="K25" s="173">
        <f>1/1</f>
        <v/>
      </c>
      <c r="L25" s="171" t="n"/>
      <c r="M25" s="171" t="n"/>
      <c r="N25" s="171" t="n"/>
      <c r="O25" s="171" t="n"/>
      <c r="P25" s="172" t="n"/>
      <c r="Q25" s="173">
        <f>1/1</f>
        <v/>
      </c>
      <c r="R25" s="171" t="n"/>
      <c r="S25" s="171" t="n"/>
      <c r="T25" s="171" t="n"/>
      <c r="U25" s="171" t="n"/>
      <c r="V25" s="172" t="n"/>
    </row>
    <row r="26" ht="71.25" customHeight="1" s="89">
      <c r="A26" s="16" t="inlineStr">
        <is>
          <t>PROCESO</t>
        </is>
      </c>
      <c r="B26" s="17" t="inlineStr">
        <is>
          <t>Investigación de accidentes e incidentes</t>
        </is>
      </c>
      <c r="C26" s="17" t="inlineStr">
        <is>
          <t>Porcentaje de accidentes/ incidentes investigados</t>
        </is>
      </c>
      <c r="D26" s="126" t="inlineStr">
        <is>
          <t>N° DE ACCIDENTES /INCIDENTESINVESTIGADOS/NRO DE ACCIDENTES/INCIDENTES REPORTADOS</t>
        </is>
      </c>
      <c r="E26" s="169" t="n"/>
      <c r="F26" s="126" t="inlineStr">
        <is>
          <t>Representante Legal: Carlos Andrés Muñoz Parra</t>
        </is>
      </c>
      <c r="G26" s="16" t="inlineStr">
        <is>
          <t>Semestral</t>
        </is>
      </c>
      <c r="H26" s="17" t="inlineStr">
        <is>
          <t>Porcentaje</t>
        </is>
      </c>
      <c r="I26" s="17" t="inlineStr">
        <is>
          <t xml:space="preserve"> XX% de investigaciónes realizadas</t>
        </is>
      </c>
      <c r="J26" s="74" t="n">
        <v>1</v>
      </c>
      <c r="K26" s="173" t="n">
        <v>0</v>
      </c>
      <c r="L26" s="171" t="n"/>
      <c r="M26" s="171" t="n"/>
      <c r="N26" s="171" t="n"/>
      <c r="O26" s="171" t="n"/>
      <c r="P26" s="172" t="n"/>
      <c r="Q26" s="173">
        <f>1/1/1/1</f>
        <v/>
      </c>
      <c r="R26" s="171" t="n"/>
      <c r="S26" s="171" t="n"/>
      <c r="T26" s="171" t="n"/>
      <c r="U26" s="171" t="n"/>
      <c r="V26" s="172" t="n"/>
    </row>
    <row r="27" ht="71.25" customHeight="1" s="89">
      <c r="A27" s="16" t="inlineStr">
        <is>
          <t>PROCESO</t>
        </is>
      </c>
      <c r="B27" s="17" t="inlineStr">
        <is>
          <t>Simulacros</t>
        </is>
      </c>
      <c r="C27" s="17" t="inlineStr">
        <is>
          <t>Procentaje de simulacros realizados por sede</t>
        </is>
      </c>
      <c r="D27" s="126" t="inlineStr">
        <is>
          <t>N° DE SIMULACROS REALIZADOS/NRO DE SIMULACROS PROGRAMADOS</t>
        </is>
      </c>
      <c r="E27" s="169" t="n"/>
      <c r="F27" s="126" t="inlineStr">
        <is>
          <t>Representante Legal: Carlos Andrés Muñoz Parra</t>
        </is>
      </c>
      <c r="G27" s="16" t="inlineStr">
        <is>
          <t>Semestral</t>
        </is>
      </c>
      <c r="H27" s="17" t="inlineStr">
        <is>
          <t>Porcentaje</t>
        </is>
      </c>
      <c r="I27" s="17" t="inlineStr">
        <is>
          <t xml:space="preserve"> XX% de simulacros ejecutados</t>
        </is>
      </c>
      <c r="J27" s="74" t="n">
        <v>1</v>
      </c>
      <c r="K27" s="175">
        <f>0/1</f>
        <v/>
      </c>
      <c r="L27" s="171" t="n"/>
      <c r="M27" s="171" t="n"/>
      <c r="N27" s="171" t="n"/>
      <c r="O27" s="171" t="n"/>
      <c r="P27" s="172" t="n"/>
      <c r="Q27" s="173">
        <f>0/1</f>
        <v/>
      </c>
      <c r="R27" s="171" t="n"/>
      <c r="S27" s="171" t="n"/>
      <c r="T27" s="171" t="n"/>
      <c r="U27" s="171" t="n"/>
      <c r="V27" s="172" t="n"/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mergeCells count="54">
    <mergeCell ref="D20:E20"/>
    <mergeCell ref="K11:V11"/>
    <mergeCell ref="Q20:V20"/>
    <mergeCell ref="D10:E10"/>
    <mergeCell ref="Q23:V23"/>
    <mergeCell ref="D19:E19"/>
    <mergeCell ref="K22:P22"/>
    <mergeCell ref="Q26:V26"/>
    <mergeCell ref="D22:E22"/>
    <mergeCell ref="H2:J2"/>
    <mergeCell ref="A2:C2"/>
    <mergeCell ref="D21:E21"/>
    <mergeCell ref="D6:E6"/>
    <mergeCell ref="K27:P27"/>
    <mergeCell ref="K8:V8"/>
    <mergeCell ref="Q22:V22"/>
    <mergeCell ref="D13:E13"/>
    <mergeCell ref="D11:E11"/>
    <mergeCell ref="D27:E27"/>
    <mergeCell ref="Q27:V27"/>
    <mergeCell ref="K23:P23"/>
    <mergeCell ref="D17:E17"/>
    <mergeCell ref="A1:J1"/>
    <mergeCell ref="D16:E16"/>
    <mergeCell ref="D7:E7"/>
    <mergeCell ref="K10:V10"/>
    <mergeCell ref="K19:V19"/>
    <mergeCell ref="D4:E4"/>
    <mergeCell ref="K6:V6"/>
    <mergeCell ref="D18:E18"/>
    <mergeCell ref="K18:V18"/>
    <mergeCell ref="K25:P25"/>
    <mergeCell ref="Q25:V25"/>
    <mergeCell ref="D9:E9"/>
    <mergeCell ref="D3:E3"/>
    <mergeCell ref="D12:E12"/>
    <mergeCell ref="D2:G2"/>
    <mergeCell ref="K24:P24"/>
    <mergeCell ref="D25:E25"/>
    <mergeCell ref="D8:E8"/>
    <mergeCell ref="K16:V16"/>
    <mergeCell ref="K15:V15"/>
    <mergeCell ref="D24:E24"/>
    <mergeCell ref="Q24:V24"/>
    <mergeCell ref="D15:E15"/>
    <mergeCell ref="D5:E5"/>
    <mergeCell ref="D23:E23"/>
    <mergeCell ref="K5:V5"/>
    <mergeCell ref="K9:V9"/>
    <mergeCell ref="D14:E14"/>
    <mergeCell ref="K26:P26"/>
    <mergeCell ref="K21:V21"/>
    <mergeCell ref="D26:E26"/>
    <mergeCell ref="K20:P20"/>
  </mergeCells>
  <pageMargins left="0.7" right="0.7" top="0.75" bottom="0.75" header="0.511805555555555" footer="0.511805555555555"/>
  <pageSetup orientation="portrait" firstPageNumber="0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0"/>
  <sheetViews>
    <sheetView topLeftCell="A4" zoomScale="82" zoomScaleNormal="82" workbookViewId="0">
      <selection activeCell="G3" sqref="G3:H3"/>
    </sheetView>
  </sheetViews>
  <sheetFormatPr baseColWidth="10" defaultColWidth="9.140625" defaultRowHeight="15"/>
  <cols>
    <col width="23.85546875" customWidth="1" style="24" min="1" max="1"/>
    <col width="15.28515625" customWidth="1" style="24" min="2" max="2"/>
    <col width="16.28515625" customWidth="1" style="24" min="3" max="3"/>
    <col width="14.7109375" customWidth="1" style="24" min="4" max="4"/>
    <col width="15.5703125" customWidth="1" style="24" min="5" max="5"/>
    <col width="15.28515625" customWidth="1" style="24" min="6" max="6"/>
    <col width="14.140625" customWidth="1" style="24" min="7" max="8"/>
    <col width="13.5703125" customWidth="1" style="24" min="9" max="9"/>
    <col width="13.42578125" customWidth="1" style="24" min="10" max="10"/>
    <col width="12.28515625" customWidth="1" style="24" min="11" max="11"/>
    <col width="12" customWidth="1" style="24" min="12" max="12"/>
    <col width="14.5703125" customWidth="1" style="24" min="13" max="13"/>
    <col width="9.140625" customWidth="1" style="24" min="14" max="1023"/>
    <col width="9.140625" customWidth="1" style="23" min="1024" max="1025"/>
    <col width="9.140625" customWidth="1" style="23" min="1026" max="16384"/>
  </cols>
  <sheetData>
    <row r="1" ht="30.75" customHeight="1" s="89">
      <c r="A1" s="192" t="inlineStr">
        <is>
          <t>FICHA TÉCNICA</t>
        </is>
      </c>
      <c r="B1" s="168" t="n"/>
      <c r="C1" s="168" t="n"/>
      <c r="D1" s="168" t="n"/>
      <c r="E1" s="168" t="n"/>
      <c r="F1" s="168" t="n"/>
      <c r="G1" s="168" t="n"/>
      <c r="H1" s="168" t="n"/>
      <c r="I1" s="168" t="n"/>
      <c r="J1" s="168" t="n"/>
      <c r="K1" s="168" t="n"/>
      <c r="L1" s="168" t="n"/>
      <c r="M1" s="169" t="n"/>
    </row>
    <row r="2" ht="31.5" customHeight="1" s="89">
      <c r="A2" s="138" t="inlineStr">
        <is>
          <t xml:space="preserve">NOMBRE DEL INDICADOR </t>
        </is>
      </c>
      <c r="B2" s="138" t="inlineStr">
        <is>
          <t xml:space="preserve">TIPO INDICADOR </t>
        </is>
      </c>
      <c r="C2" s="138" t="inlineStr">
        <is>
          <t xml:space="preserve">FORMULA DE INDICADOR </t>
        </is>
      </c>
      <c r="D2" s="169" t="n"/>
      <c r="E2" s="138" t="inlineStr">
        <is>
          <t>DEFINICIÓN</t>
        </is>
      </c>
      <c r="F2" s="169" t="n"/>
      <c r="G2" s="138" t="inlineStr">
        <is>
          <t>INTERPRETACIÓN</t>
        </is>
      </c>
      <c r="H2" s="169" t="n"/>
      <c r="I2" s="138" t="inlineStr">
        <is>
          <t>UNIDAD DE MEDIDA</t>
        </is>
      </c>
      <c r="J2" s="169" t="n"/>
      <c r="K2" s="138" t="inlineStr">
        <is>
          <t>META</t>
        </is>
      </c>
      <c r="L2" s="168" t="n"/>
      <c r="M2" s="169" t="n"/>
    </row>
    <row r="3" ht="173.25" customHeight="1" s="89">
      <c r="A3" s="63" t="inlineStr">
        <is>
          <t>Tasa de enfermedad laboral</t>
        </is>
      </c>
      <c r="B3" s="151" t="inlineStr">
        <is>
          <t>Resultado</t>
        </is>
      </c>
      <c r="C3" s="139" t="inlineStr">
        <is>
          <t>(Numero de enfermedades laborales calificadas en el periodo / promedio de trabajadores X 100.000</t>
        </is>
      </c>
      <c r="D3" s="169" t="n"/>
      <c r="E3" s="158" t="inlineStr">
        <is>
          <t>Refleja las enfermedades en un periodo determinado.</t>
        </is>
      </c>
      <c r="F3" s="172" t="n"/>
      <c r="G3" s="139" t="inlineStr">
        <is>
          <t>por cada 100. trabajadores expuestos se presentan  0 enfermedades laborales en el periodo</t>
        </is>
      </c>
      <c r="H3" s="169" t="n"/>
      <c r="I3" s="163" t="inlineStr">
        <is>
          <t>Porcentaje</t>
        </is>
      </c>
      <c r="K3" s="141" t="n">
        <v>0</v>
      </c>
      <c r="L3" s="168" t="n"/>
      <c r="M3" s="169" t="n"/>
    </row>
    <row r="4" ht="22.5" customHeight="1" s="89">
      <c r="A4" s="142" t="inlineStr">
        <is>
          <t xml:space="preserve">TIPO DE INDICADOR </t>
        </is>
      </c>
      <c r="B4" s="168" t="n"/>
      <c r="C4" s="168" t="n"/>
      <c r="D4" s="168" t="n"/>
      <c r="E4" s="168" t="n"/>
      <c r="F4" s="169" t="n"/>
      <c r="G4" s="142" t="inlineStr">
        <is>
          <t>PERIOCIDAD</t>
        </is>
      </c>
      <c r="H4" s="168" t="n"/>
      <c r="I4" s="168" t="n"/>
      <c r="J4" s="168" t="n"/>
      <c r="K4" s="168" t="n"/>
      <c r="L4" s="168" t="n"/>
      <c r="M4" s="169" t="n"/>
    </row>
    <row r="5" ht="12.75" customFormat="1" customHeight="1" s="28">
      <c r="A5" s="145" t="inlineStr">
        <is>
          <t>ESTRUCTURA</t>
        </is>
      </c>
      <c r="B5" s="169" t="n"/>
      <c r="C5" s="145" t="inlineStr">
        <is>
          <t>PROCESO</t>
        </is>
      </c>
      <c r="D5" s="169" t="n"/>
      <c r="E5" s="145" t="inlineStr">
        <is>
          <t>RESULTADO</t>
        </is>
      </c>
      <c r="F5" s="169" t="n"/>
      <c r="G5" s="145" t="inlineStr">
        <is>
          <t>MENSUAL</t>
        </is>
      </c>
      <c r="H5" s="169" t="n"/>
      <c r="I5" s="145" t="inlineStr">
        <is>
          <t>SEMESTRAL</t>
        </is>
      </c>
      <c r="J5" s="169" t="n"/>
      <c r="K5" s="145" t="inlineStr">
        <is>
          <t>ANUAL</t>
        </is>
      </c>
      <c r="L5" s="168" t="n"/>
      <c r="M5" s="169" t="n"/>
    </row>
    <row r="6" ht="15" customHeight="1" s="89">
      <c r="A6" s="138" t="n"/>
      <c r="B6" s="176" t="n"/>
      <c r="C6" s="145" t="n"/>
      <c r="D6" s="176" t="n"/>
      <c r="E6" s="146" t="inlineStr">
        <is>
          <t>X</t>
        </is>
      </c>
      <c r="F6" s="176" t="n"/>
      <c r="G6" s="145" t="n"/>
      <c r="H6" s="176" t="n"/>
      <c r="I6" s="147" t="n"/>
      <c r="J6" s="176" t="n"/>
      <c r="K6" s="146" t="inlineStr">
        <is>
          <t>X</t>
        </is>
      </c>
      <c r="L6" s="177" t="n"/>
      <c r="M6" s="176" t="n"/>
    </row>
    <row r="7">
      <c r="A7" s="178" t="n"/>
      <c r="B7" s="179" t="n"/>
      <c r="C7" s="178" t="n"/>
      <c r="D7" s="179" t="n"/>
      <c r="E7" s="178" t="n"/>
      <c r="F7" s="179" t="n"/>
      <c r="G7" s="178" t="n"/>
      <c r="H7" s="179" t="n"/>
      <c r="I7" s="178" t="n"/>
      <c r="J7" s="179" t="n"/>
      <c r="K7" s="178" t="n"/>
      <c r="L7" s="180" t="n"/>
      <c r="M7" s="179" t="n"/>
    </row>
    <row r="8"/>
    <row r="9">
      <c r="A9" s="32" t="inlineStr">
        <is>
          <t>VARIABLE</t>
        </is>
      </c>
      <c r="B9" s="148" t="n">
        <v>2022</v>
      </c>
      <c r="C9" s="169" t="n"/>
      <c r="D9" s="33" t="n"/>
      <c r="E9" s="33" t="n"/>
      <c r="F9" s="34" t="n"/>
      <c r="G9" s="34" t="n"/>
      <c r="H9" s="34" t="n"/>
      <c r="I9" s="34" t="n"/>
      <c r="J9" s="34" t="n"/>
      <c r="K9" s="34" t="n"/>
      <c r="L9" s="35" t="n"/>
      <c r="M9" s="35" t="n"/>
      <c r="N9" s="33" t="n"/>
      <c r="O9" s="33" t="n"/>
      <c r="P9" s="33" t="n"/>
    </row>
    <row r="10" ht="38.25" customFormat="1" customHeight="1" s="24">
      <c r="A10" s="36" t="inlineStr">
        <is>
          <t>Número de enfermedades laborales
calificados en el periodo</t>
        </is>
      </c>
      <c r="B10" s="149" t="n">
        <v>0</v>
      </c>
      <c r="C10" s="169" t="n"/>
    </row>
    <row r="11" ht="27.75" customFormat="1" customHeight="1" s="24">
      <c r="A11" s="36" t="inlineStr">
        <is>
          <t>Promedio de trabajadores</t>
        </is>
      </c>
      <c r="B11" s="149">
        <f>'[1]Prevalencia de EL'!B11:C11</f>
        <v/>
      </c>
      <c r="C11" s="169" t="n"/>
    </row>
    <row r="12" customFormat="1" s="24">
      <c r="B12" s="149" t="n">
        <v>100000</v>
      </c>
      <c r="C12" s="169" t="n"/>
    </row>
    <row r="13" ht="30" customFormat="1" customHeight="1" s="24">
      <c r="A13" s="37" t="inlineStr">
        <is>
          <t>Tasa de enfermedad laboral</t>
        </is>
      </c>
      <c r="B13" s="150">
        <f>B10/B11*B12</f>
        <v/>
      </c>
      <c r="C13" s="169" t="n"/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mergeCells count="30">
    <mergeCell ref="E6:F7"/>
    <mergeCell ref="G2:H2"/>
    <mergeCell ref="G6:H7"/>
    <mergeCell ref="I2:J2"/>
    <mergeCell ref="C5:D5"/>
    <mergeCell ref="G4:M4"/>
    <mergeCell ref="E5:F5"/>
    <mergeCell ref="K6:M7"/>
    <mergeCell ref="B12:C12"/>
    <mergeCell ref="K2:M2"/>
    <mergeCell ref="B11:C11"/>
    <mergeCell ref="A4:F4"/>
    <mergeCell ref="G3:H3"/>
    <mergeCell ref="I3:J3"/>
    <mergeCell ref="B13:C13"/>
    <mergeCell ref="A1:M1"/>
    <mergeCell ref="C2:D2"/>
    <mergeCell ref="C6:D7"/>
    <mergeCell ref="I6:J7"/>
    <mergeCell ref="E2:F2"/>
    <mergeCell ref="B10:C10"/>
    <mergeCell ref="A5:B5"/>
    <mergeCell ref="G5:H5"/>
    <mergeCell ref="I5:J5"/>
    <mergeCell ref="K3:M3"/>
    <mergeCell ref="B9:C9"/>
    <mergeCell ref="K5:M5"/>
    <mergeCell ref="A6:B7"/>
    <mergeCell ref="C3:D3"/>
    <mergeCell ref="E3:F3"/>
  </mergeCells>
  <pageMargins left="0.7" right="0.7" top="0.75" bottom="0.75" header="0.511805555555555" footer="0.511805555555555"/>
  <pageSetup orientation="portrait" firstPageNumber="0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0"/>
  <sheetViews>
    <sheetView topLeftCell="A7" zoomScale="82" zoomScaleNormal="82" workbookViewId="0">
      <selection activeCell="B12" sqref="B12:C12"/>
    </sheetView>
  </sheetViews>
  <sheetFormatPr baseColWidth="10" defaultColWidth="9.140625" defaultRowHeight="15"/>
  <cols>
    <col width="24.5703125" customWidth="1" style="24" min="1" max="1"/>
    <col width="15.28515625" customWidth="1" style="24" min="2" max="2"/>
    <col width="16.28515625" customWidth="1" style="24" min="3" max="3"/>
    <col width="14.7109375" customWidth="1" style="24" min="4" max="4"/>
    <col width="15.5703125" customWidth="1" style="24" min="5" max="5"/>
    <col width="15.28515625" customWidth="1" style="24" min="6" max="6"/>
    <col width="14.140625" customWidth="1" style="24" min="7" max="8"/>
    <col width="13.5703125" customWidth="1" style="24" min="9" max="9"/>
    <col width="13.42578125" customWidth="1" style="24" min="10" max="10"/>
    <col width="12.28515625" customWidth="1" style="24" min="11" max="11"/>
    <col width="12" customWidth="1" style="24" min="12" max="12"/>
    <col width="14.5703125" customWidth="1" style="24" min="13" max="13"/>
    <col width="9.140625" customWidth="1" style="24" min="14" max="1023"/>
    <col width="9.140625" customWidth="1" style="23" min="1024" max="1025"/>
    <col width="9.140625" customWidth="1" style="23" min="1026" max="16384"/>
  </cols>
  <sheetData>
    <row r="1" ht="36" customHeight="1" s="89">
      <c r="A1" s="192" t="inlineStr">
        <is>
          <t>FICHA TÉCNICA</t>
        </is>
      </c>
      <c r="B1" s="168" t="n"/>
      <c r="C1" s="168" t="n"/>
      <c r="D1" s="168" t="n"/>
      <c r="E1" s="168" t="n"/>
      <c r="F1" s="168" t="n"/>
      <c r="G1" s="168" t="n"/>
      <c r="H1" s="168" t="n"/>
      <c r="I1" s="168" t="n"/>
      <c r="J1" s="168" t="n"/>
      <c r="K1" s="168" t="n"/>
      <c r="L1" s="168" t="n"/>
      <c r="M1" s="169" t="n"/>
    </row>
    <row r="2" ht="31.5" customHeight="1" s="89">
      <c r="A2" s="138" t="inlineStr">
        <is>
          <t xml:space="preserve">NOMBRE DEL INDICADOR </t>
        </is>
      </c>
      <c r="B2" s="138" t="inlineStr">
        <is>
          <t xml:space="preserve">TIPO INDICADOR </t>
        </is>
      </c>
      <c r="C2" s="138" t="inlineStr">
        <is>
          <t xml:space="preserve">FORMULA DE INDICADOR </t>
        </is>
      </c>
      <c r="D2" s="169" t="n"/>
      <c r="E2" s="138" t="inlineStr">
        <is>
          <t>DEFINICIÓN</t>
        </is>
      </c>
      <c r="F2" s="169" t="n"/>
      <c r="G2" s="138" t="inlineStr">
        <is>
          <t>INTERPRETACIÓN</t>
        </is>
      </c>
      <c r="H2" s="169" t="n"/>
      <c r="I2" s="138" t="inlineStr">
        <is>
          <t>UNIDAD DE MEDIDA</t>
        </is>
      </c>
      <c r="J2" s="169" t="n"/>
      <c r="K2" s="138" t="inlineStr">
        <is>
          <t>META</t>
        </is>
      </c>
      <c r="L2" s="168" t="n"/>
      <c r="M2" s="169" t="n"/>
    </row>
    <row r="3" ht="173.25" customHeight="1" s="89">
      <c r="A3" s="139" t="inlineStr">
        <is>
          <t>Índice de incidencia de accidente de trabajo</t>
        </is>
      </c>
      <c r="B3" s="151" t="inlineStr">
        <is>
          <t>Resultado</t>
        </is>
      </c>
      <c r="C3" s="139" t="inlineStr">
        <is>
          <t>Número de accidentes de trabajo en el periodo/ promedio de trabajadores*100.000</t>
        </is>
      </c>
      <c r="D3" s="169" t="n"/>
      <c r="E3" s="139" t="inlineStr">
        <is>
          <t xml:space="preserve">Reflejan la presentación de nuevos eventos en un periodo determinado
</t>
        </is>
      </c>
      <c r="F3" s="169" t="n"/>
      <c r="G3" s="139" t="inlineStr">
        <is>
          <t>En el periodo 3 se accidentaron el X % por cada 100.000 trabajadores.</t>
        </is>
      </c>
      <c r="H3" s="169" t="n"/>
      <c r="I3" s="151" t="inlineStr">
        <is>
          <t>Porcentaje</t>
        </is>
      </c>
      <c r="J3" s="169" t="n"/>
      <c r="K3" s="141" t="n">
        <v>0</v>
      </c>
      <c r="L3" s="168" t="n"/>
      <c r="M3" s="169" t="n"/>
    </row>
    <row r="4" ht="22.5" customHeight="1" s="89">
      <c r="A4" s="142" t="inlineStr">
        <is>
          <t xml:space="preserve">TIPO DE INDICADOR </t>
        </is>
      </c>
      <c r="B4" s="168" t="n"/>
      <c r="C4" s="168" t="n"/>
      <c r="D4" s="168" t="n"/>
      <c r="E4" s="168" t="n"/>
      <c r="F4" s="169" t="n"/>
      <c r="G4" s="142" t="inlineStr">
        <is>
          <t>PERIOCIDAD</t>
        </is>
      </c>
      <c r="H4" s="168" t="n"/>
      <c r="I4" s="168" t="n"/>
      <c r="J4" s="168" t="n"/>
      <c r="K4" s="168" t="n"/>
      <c r="L4" s="168" t="n"/>
      <c r="M4" s="169" t="n"/>
    </row>
    <row r="5" ht="12.75" customFormat="1" customHeight="1" s="28">
      <c r="A5" s="145" t="inlineStr">
        <is>
          <t>ESTRUCTURA</t>
        </is>
      </c>
      <c r="B5" s="169" t="n"/>
      <c r="C5" s="145" t="inlineStr">
        <is>
          <t>PROCESO</t>
        </is>
      </c>
      <c r="D5" s="169" t="n"/>
      <c r="E5" s="145" t="inlineStr">
        <is>
          <t>RESULTADO</t>
        </is>
      </c>
      <c r="F5" s="169" t="n"/>
      <c r="G5" s="145" t="inlineStr">
        <is>
          <t>MENSUAL</t>
        </is>
      </c>
      <c r="H5" s="169" t="n"/>
      <c r="I5" s="145" t="inlineStr">
        <is>
          <t>SEMESTRAL</t>
        </is>
      </c>
      <c r="J5" s="169" t="n"/>
      <c r="K5" s="145" t="inlineStr">
        <is>
          <t>ANUAL</t>
        </is>
      </c>
      <c r="L5" s="168" t="n"/>
      <c r="M5" s="169" t="n"/>
    </row>
    <row r="6" ht="15" customHeight="1" s="89">
      <c r="A6" s="138" t="n"/>
      <c r="B6" s="176" t="n"/>
      <c r="C6" s="145" t="n"/>
      <c r="D6" s="176" t="n"/>
      <c r="E6" s="154" t="inlineStr">
        <is>
          <t>X</t>
        </is>
      </c>
      <c r="F6" s="176" t="n"/>
      <c r="G6" s="145" t="n"/>
      <c r="H6" s="176" t="n"/>
      <c r="I6" s="147" t="n"/>
      <c r="J6" s="176" t="n"/>
      <c r="K6" s="146" t="inlineStr">
        <is>
          <t>X</t>
        </is>
      </c>
      <c r="L6" s="177" t="n"/>
      <c r="M6" s="176" t="n"/>
    </row>
    <row r="7">
      <c r="A7" s="178" t="n"/>
      <c r="B7" s="179" t="n"/>
      <c r="C7" s="178" t="n"/>
      <c r="D7" s="179" t="n"/>
      <c r="E7" s="178" t="n"/>
      <c r="F7" s="179" t="n"/>
      <c r="G7" s="178" t="n"/>
      <c r="H7" s="179" t="n"/>
      <c r="I7" s="178" t="n"/>
      <c r="J7" s="179" t="n"/>
      <c r="K7" s="178" t="n"/>
      <c r="L7" s="180" t="n"/>
      <c r="M7" s="179" t="n"/>
    </row>
    <row r="8"/>
    <row r="9">
      <c r="A9" s="32" t="inlineStr">
        <is>
          <t>VARIABLE</t>
        </is>
      </c>
      <c r="B9" s="148" t="n">
        <v>2022</v>
      </c>
      <c r="C9" s="169" t="n"/>
      <c r="D9" s="33" t="n"/>
      <c r="E9" s="33" t="n"/>
      <c r="F9" s="34" t="n"/>
      <c r="G9" s="34" t="n"/>
      <c r="H9" s="34" t="n"/>
      <c r="I9" s="34" t="n"/>
      <c r="J9" s="34" t="n"/>
      <c r="K9" s="34" t="n"/>
      <c r="L9" s="35" t="n"/>
      <c r="M9" s="35" t="n"/>
      <c r="N9" s="33" t="n"/>
      <c r="O9" s="33" t="n"/>
      <c r="P9" s="33" t="n"/>
    </row>
    <row r="10" ht="25.5" customFormat="1" customHeight="1" s="24">
      <c r="A10" s="36" t="inlineStr">
        <is>
          <t xml:space="preserve">Número de accidentes en el periodo </t>
        </is>
      </c>
      <c r="B10" s="181" t="n">
        <v>1</v>
      </c>
      <c r="C10" s="172" t="n"/>
    </row>
    <row r="11" ht="20.25" customFormat="1" customHeight="1" s="24">
      <c r="A11" s="36" t="inlineStr">
        <is>
          <t>Promedio de trabajadores</t>
        </is>
      </c>
      <c r="B11" s="181" t="n">
        <v>14</v>
      </c>
      <c r="C11" s="172" t="n"/>
    </row>
    <row r="12" customFormat="1" s="24">
      <c r="A12" s="163" t="n"/>
      <c r="B12" s="149" t="n">
        <v>1000</v>
      </c>
      <c r="C12" s="169" t="n"/>
    </row>
    <row r="13" ht="35.25" customFormat="1" customHeight="1" s="24">
      <c r="A13" s="37" t="inlineStr">
        <is>
          <t>Índice de incidencia de accidente de trabajo</t>
        </is>
      </c>
      <c r="B13" s="150">
        <f>B10/B11*B12</f>
        <v/>
      </c>
      <c r="C13" s="169" t="n"/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mergeCells count="30">
    <mergeCell ref="E6:F7"/>
    <mergeCell ref="G2:H2"/>
    <mergeCell ref="G6:H7"/>
    <mergeCell ref="I2:J2"/>
    <mergeCell ref="C5:D5"/>
    <mergeCell ref="G4:M4"/>
    <mergeCell ref="E5:F5"/>
    <mergeCell ref="K6:M7"/>
    <mergeCell ref="B12:C12"/>
    <mergeCell ref="K2:M2"/>
    <mergeCell ref="B11:C11"/>
    <mergeCell ref="A4:F4"/>
    <mergeCell ref="G3:H3"/>
    <mergeCell ref="I3:J3"/>
    <mergeCell ref="B13:C13"/>
    <mergeCell ref="A1:M1"/>
    <mergeCell ref="C2:D2"/>
    <mergeCell ref="C6:D7"/>
    <mergeCell ref="I6:J7"/>
    <mergeCell ref="E2:F2"/>
    <mergeCell ref="B10:C10"/>
    <mergeCell ref="A5:B5"/>
    <mergeCell ref="G5:H5"/>
    <mergeCell ref="I5:J5"/>
    <mergeCell ref="K3:M3"/>
    <mergeCell ref="B9:C9"/>
    <mergeCell ref="K5:M5"/>
    <mergeCell ref="A6:B7"/>
    <mergeCell ref="C3:D3"/>
    <mergeCell ref="E3:F3"/>
  </mergeCells>
  <pageMargins left="0.7" right="0.7" top="0.75" bottom="0.75" header="0.511805555555555" footer="0.511805555555555"/>
  <pageSetup orientation="portrait" firstPageNumber="0" horizontalDpi="300" verticalDpi="30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0"/>
  <sheetViews>
    <sheetView topLeftCell="A4" zoomScale="82" zoomScaleNormal="82" workbookViewId="0">
      <selection activeCell="J9" sqref="J9:J10"/>
    </sheetView>
  </sheetViews>
  <sheetFormatPr baseColWidth="10" defaultColWidth="9.140625" defaultRowHeight="15"/>
  <cols>
    <col width="27.7109375" customWidth="1" style="24" min="1" max="1"/>
    <col width="13.7109375" customWidth="1" style="24" min="2" max="2"/>
    <col width="13.5703125" customWidth="1" style="24" min="3" max="3"/>
    <col width="13" customWidth="1" style="24" min="4" max="4"/>
    <col width="12.140625" customWidth="1" style="24" min="5" max="5"/>
    <col width="13.140625" customWidth="1" style="24" min="6" max="6"/>
    <col width="12.5703125" customWidth="1" style="24" min="7" max="8"/>
    <col width="13.42578125" customWidth="1" style="24" min="9" max="9"/>
    <col width="11.85546875" customWidth="1" style="24" min="10" max="10"/>
    <col width="12.5703125" customWidth="1" style="24" min="11" max="11"/>
    <col width="11" customWidth="1" style="24" min="12" max="12"/>
    <col width="12.140625" customWidth="1" style="24" min="13" max="13"/>
    <col hidden="1" width="11.5703125" customWidth="1" style="24" min="14" max="14"/>
    <col width="11.140625" customWidth="1" style="24" min="15" max="1025"/>
    <col width="9.140625" customWidth="1" style="23" min="1026" max="16384"/>
  </cols>
  <sheetData>
    <row r="1" ht="27" customHeight="1" s="89">
      <c r="A1" s="192" t="inlineStr">
        <is>
          <t>FICHA TÉCNICA</t>
        </is>
      </c>
      <c r="B1" s="168" t="n"/>
      <c r="C1" s="168" t="n"/>
      <c r="D1" s="168" t="n"/>
      <c r="E1" s="168" t="n"/>
      <c r="F1" s="168" t="n"/>
      <c r="G1" s="168" t="n"/>
      <c r="H1" s="168" t="n"/>
      <c r="I1" s="168" t="n"/>
      <c r="J1" s="168" t="n"/>
      <c r="K1" s="168" t="n"/>
      <c r="L1" s="168" t="n"/>
      <c r="M1" s="169" t="n"/>
      <c r="N1" s="39" t="n"/>
    </row>
    <row r="2" ht="31.5" customHeight="1" s="89">
      <c r="A2" s="138" t="inlineStr">
        <is>
          <t xml:space="preserve">NOMBRE DEL INDICADOR </t>
        </is>
      </c>
      <c r="B2" s="138" t="inlineStr">
        <is>
          <t xml:space="preserve">TIPO INDICADOR </t>
        </is>
      </c>
      <c r="C2" s="138" t="inlineStr">
        <is>
          <t xml:space="preserve">FORMULA DE INDICADOR </t>
        </is>
      </c>
      <c r="D2" s="169" t="n"/>
      <c r="E2" s="138" t="inlineStr">
        <is>
          <t>DEFINICIÓN</t>
        </is>
      </c>
      <c r="F2" s="169" t="n"/>
      <c r="G2" s="138" t="inlineStr">
        <is>
          <t>INTERPRETACIÓN</t>
        </is>
      </c>
      <c r="H2" s="169" t="n"/>
      <c r="I2" s="138" t="inlineStr">
        <is>
          <t>UNIDAD DE MEDIDA</t>
        </is>
      </c>
      <c r="J2" s="169" t="n"/>
      <c r="K2" s="138" t="inlineStr">
        <is>
          <t>META</t>
        </is>
      </c>
      <c r="L2" s="168" t="n"/>
      <c r="M2" s="168" t="n"/>
      <c r="N2" s="169" t="n"/>
    </row>
    <row r="3" ht="173.25" customHeight="1" s="89">
      <c r="A3" s="139" t="inlineStr">
        <is>
          <t>Indice de frecuencia de accidentes de trabajo con incapacidad</t>
        </is>
      </c>
      <c r="B3" s="151" t="inlineStr">
        <is>
          <t xml:space="preserve">Resultado </t>
        </is>
      </c>
      <c r="C3" s="139" t="inlineStr">
        <is>
          <t>I.F.A.T= (N° DE A.T EN EL PERIODO CON INCAPACIDAD / N° HHT EN EL PERIODO)*K</t>
        </is>
      </c>
      <c r="D3" s="169" t="n"/>
      <c r="E3" s="139" t="inlineStr">
        <is>
          <t>Expresa el total de AT incapacitantes ocurridos durante el ultimo año, por cada 100 trabajadores de tiempo completo.</t>
        </is>
      </c>
      <c r="F3" s="169" t="n"/>
      <c r="G3" s="139" t="inlineStr">
        <is>
          <t>por cada 100 trabajadores, se presentan 3 Accidentes de Trabajo con incapcidad en el mes</t>
        </is>
      </c>
      <c r="H3" s="169" t="n"/>
      <c r="I3" s="151" t="inlineStr">
        <is>
          <t>Porcentaje</t>
        </is>
      </c>
      <c r="J3" s="169" t="n"/>
      <c r="K3" s="141" t="n">
        <v>0</v>
      </c>
      <c r="L3" s="168" t="n"/>
      <c r="M3" s="169" t="n"/>
      <c r="N3" s="39" t="n"/>
    </row>
    <row r="4" ht="22.5" customHeight="1" s="89">
      <c r="A4" s="142" t="inlineStr">
        <is>
          <t xml:space="preserve">TIPO DE INDICADOR </t>
        </is>
      </c>
      <c r="B4" s="168" t="n"/>
      <c r="C4" s="168" t="n"/>
      <c r="D4" s="168" t="n"/>
      <c r="E4" s="168" t="n"/>
      <c r="F4" s="169" t="n"/>
      <c r="G4" s="142" t="inlineStr">
        <is>
          <t>PERIORICIDAD</t>
        </is>
      </c>
      <c r="H4" s="168" t="n"/>
      <c r="I4" s="168" t="n"/>
      <c r="J4" s="168" t="n"/>
      <c r="K4" s="168" t="n"/>
      <c r="L4" s="168" t="n"/>
      <c r="M4" s="169" t="n"/>
      <c r="N4" s="39" t="n"/>
    </row>
    <row r="5" ht="12.75" customFormat="1" customHeight="1" s="28">
      <c r="A5" s="145" t="inlineStr">
        <is>
          <t>ESTRUCTURA</t>
        </is>
      </c>
      <c r="B5" s="169" t="n"/>
      <c r="C5" s="145" t="inlineStr">
        <is>
          <t>PROCESO</t>
        </is>
      </c>
      <c r="D5" s="169" t="n"/>
      <c r="E5" s="145" t="inlineStr">
        <is>
          <t>RESULTADO</t>
        </is>
      </c>
      <c r="F5" s="169" t="n"/>
      <c r="G5" s="145" t="inlineStr">
        <is>
          <t>MENSUAL</t>
        </is>
      </c>
      <c r="H5" s="169" t="n"/>
      <c r="I5" s="145" t="inlineStr">
        <is>
          <t>SEMESTRAL</t>
        </is>
      </c>
      <c r="J5" s="169" t="n"/>
      <c r="K5" s="145" t="inlineStr">
        <is>
          <t>ANUAL</t>
        </is>
      </c>
      <c r="L5" s="168" t="n"/>
      <c r="M5" s="169" t="n"/>
      <c r="N5" s="40" t="n"/>
    </row>
    <row r="6">
      <c r="A6" s="138" t="n"/>
      <c r="B6" s="176" t="n"/>
      <c r="C6" s="145" t="n"/>
      <c r="D6" s="176" t="n"/>
      <c r="E6" s="145" t="inlineStr">
        <is>
          <t>X</t>
        </is>
      </c>
      <c r="F6" s="176" t="n"/>
      <c r="G6" s="145" t="inlineStr">
        <is>
          <t>X</t>
        </is>
      </c>
      <c r="H6" s="176" t="n"/>
      <c r="I6" s="147" t="n"/>
      <c r="J6" s="176" t="n"/>
      <c r="K6" s="147" t="n"/>
      <c r="L6" s="177" t="n"/>
      <c r="M6" s="176" t="n"/>
      <c r="N6" s="39" t="n"/>
    </row>
    <row r="7">
      <c r="A7" s="178" t="n"/>
      <c r="B7" s="179" t="n"/>
      <c r="C7" s="178" t="n"/>
      <c r="D7" s="179" t="n"/>
      <c r="E7" s="178" t="n"/>
      <c r="F7" s="179" t="n"/>
      <c r="G7" s="178" t="n"/>
      <c r="H7" s="179" t="n"/>
      <c r="I7" s="178" t="n"/>
      <c r="J7" s="179" t="n"/>
      <c r="K7" s="178" t="n"/>
      <c r="L7" s="180" t="n"/>
      <c r="M7" s="179" t="n"/>
      <c r="N7" s="39" t="n"/>
    </row>
    <row r="8">
      <c r="A8" s="148" t="inlineStr">
        <is>
          <t>VARIABLE</t>
        </is>
      </c>
      <c r="B8" s="30" t="inlineStr">
        <is>
          <t xml:space="preserve">ENERO </t>
        </is>
      </c>
      <c r="C8" s="30" t="inlineStr">
        <is>
          <t>FEBRERO</t>
        </is>
      </c>
      <c r="D8" s="30" t="inlineStr">
        <is>
          <t>MARZO</t>
        </is>
      </c>
      <c r="E8" s="30" t="inlineStr">
        <is>
          <t>ABRIL</t>
        </is>
      </c>
      <c r="F8" s="30" t="inlineStr">
        <is>
          <t>MAYO</t>
        </is>
      </c>
      <c r="G8" s="30" t="inlineStr">
        <is>
          <t>JUNIO</t>
        </is>
      </c>
      <c r="H8" s="30" t="inlineStr">
        <is>
          <t>JULIO</t>
        </is>
      </c>
      <c r="I8" s="30" t="inlineStr">
        <is>
          <t>AGOSTO</t>
        </is>
      </c>
      <c r="J8" s="30" t="inlineStr">
        <is>
          <t>SEPTIEMBRE</t>
        </is>
      </c>
      <c r="K8" s="30" t="inlineStr">
        <is>
          <t>OCTUBRE</t>
        </is>
      </c>
      <c r="L8" s="30" t="inlineStr">
        <is>
          <t>NOVIEMBRE</t>
        </is>
      </c>
      <c r="M8" s="30" t="inlineStr">
        <is>
          <t>DICIEMBRE</t>
        </is>
      </c>
      <c r="N8" s="39" t="n"/>
    </row>
    <row r="9" ht="12.75" customFormat="1" customHeight="1" s="41">
      <c r="A9" s="156" t="inlineStr">
        <is>
          <t>Número de AT con incapacidad</t>
        </is>
      </c>
      <c r="B9" s="41" t="n">
        <v>0</v>
      </c>
      <c r="C9" s="155">
        <f>[2]F.A.!C9</f>
        <v/>
      </c>
      <c r="D9" s="155">
        <f>[2]F.A.!D9</f>
        <v/>
      </c>
      <c r="E9" s="155">
        <f>[2]F.A.!E9</f>
        <v/>
      </c>
      <c r="F9" s="155" t="n">
        <v>0</v>
      </c>
      <c r="G9" s="155">
        <f>[2]F.A.!G9</f>
        <v/>
      </c>
      <c r="H9" s="155">
        <f>[2]F.A.!H9</f>
        <v/>
      </c>
      <c r="I9" s="155">
        <f>[2]F.A.!I9</f>
        <v/>
      </c>
      <c r="J9" s="155">
        <f>[2]F.A.!J9</f>
        <v/>
      </c>
      <c r="K9" s="155">
        <f>[2]F.A.!K9</f>
        <v/>
      </c>
      <c r="L9" s="155">
        <f>[2]F.A.!L9</f>
        <v/>
      </c>
      <c r="M9" s="155">
        <f>[2]F.A.!M9</f>
        <v/>
      </c>
      <c r="N9" s="151" t="n"/>
    </row>
    <row r="10" hidden="1" ht="15" customHeight="1" s="89">
      <c r="A10" s="182" t="n"/>
      <c r="C10" s="182" t="n"/>
      <c r="D10" s="182" t="n"/>
      <c r="E10" s="182" t="n"/>
      <c r="F10" s="182" t="n"/>
      <c r="G10" s="182" t="n"/>
      <c r="H10" s="182" t="n"/>
      <c r="I10" s="182" t="n"/>
      <c r="J10" s="182" t="n"/>
      <c r="K10" s="182" t="n"/>
      <c r="L10" s="182" t="n"/>
      <c r="M10" s="182" t="n"/>
      <c r="N10" s="43" t="n"/>
    </row>
    <row r="11" ht="12.75" customFormat="1" customHeight="1" s="41">
      <c r="A11" s="43" t="inlineStr">
        <is>
          <t xml:space="preserve">Número de HHT en el periodo </t>
        </is>
      </c>
      <c r="B11" s="44">
        <f>([2]F.A.!B14)</f>
        <v/>
      </c>
      <c r="C11" s="44">
        <f>([2]F.A.!C14)</f>
        <v/>
      </c>
      <c r="D11" s="44">
        <f>([2]F.A.!D14)</f>
        <v/>
      </c>
      <c r="E11" s="44">
        <f>([2]F.A.!E14)</f>
        <v/>
      </c>
      <c r="F11" s="44">
        <f>([2]F.A.!F14)</f>
        <v/>
      </c>
      <c r="G11" s="44">
        <f>([2]F.A.!G14)</f>
        <v/>
      </c>
      <c r="H11" s="44">
        <f>([2]F.A.!H14)</f>
        <v/>
      </c>
      <c r="I11" s="44">
        <f>([2]F.A.!I14)</f>
        <v/>
      </c>
      <c r="J11" s="44">
        <f>([2]F.A.!J14)</f>
        <v/>
      </c>
      <c r="K11" s="44">
        <f>([2]F.A.!K14)</f>
        <v/>
      </c>
      <c r="L11" s="44">
        <f>([2]F.A.!L14)</f>
        <v/>
      </c>
      <c r="M11" s="44">
        <f>([2]F.A.!M14)</f>
        <v/>
      </c>
      <c r="N11" s="151" t="n"/>
    </row>
    <row r="12">
      <c r="A12" s="43" t="inlineStr">
        <is>
          <t>Constante K</t>
        </is>
      </c>
      <c r="B12" s="155" t="n">
        <v>200000</v>
      </c>
      <c r="C12" s="155" t="n">
        <v>200000</v>
      </c>
      <c r="D12" s="155" t="n">
        <v>200000</v>
      </c>
      <c r="E12" s="155" t="n">
        <v>200000</v>
      </c>
      <c r="F12" s="155" t="n">
        <v>200000</v>
      </c>
      <c r="G12" s="155" t="n">
        <v>200000</v>
      </c>
      <c r="H12" s="155" t="n">
        <v>200000</v>
      </c>
      <c r="I12" s="103" t="n">
        <v>2000</v>
      </c>
      <c r="J12" s="155" t="n">
        <v>200000</v>
      </c>
      <c r="K12" s="155" t="n">
        <v>200000</v>
      </c>
      <c r="L12" s="155" t="n">
        <v>200000</v>
      </c>
      <c r="M12" s="155" t="n">
        <v>200000</v>
      </c>
      <c r="N12" s="151" t="n"/>
    </row>
    <row r="13" ht="30.75" customHeight="1" s="89">
      <c r="A13" s="45" t="inlineStr">
        <is>
          <t>I.F.A.T. Con Incapacidad</t>
        </is>
      </c>
      <c r="B13" s="150">
        <f>(B9/B11)*B12</f>
        <v/>
      </c>
      <c r="C13" s="150">
        <f>(C9/C11)*C12</f>
        <v/>
      </c>
      <c r="D13" s="150">
        <f>D9/D11*D12</f>
        <v/>
      </c>
      <c r="E13" s="150">
        <f>E9/E11*E12</f>
        <v/>
      </c>
      <c r="F13" s="150">
        <f>F9/F11*F12</f>
        <v/>
      </c>
      <c r="G13" s="150">
        <f>G9/G11*G12</f>
        <v/>
      </c>
      <c r="H13" s="150">
        <f>H9/H11*H12</f>
        <v/>
      </c>
      <c r="I13" s="150">
        <f>I9/I11*I12</f>
        <v/>
      </c>
      <c r="J13" s="150">
        <f>J9/J11*J12</f>
        <v/>
      </c>
      <c r="K13" s="150">
        <f>K9/K11*K12</f>
        <v/>
      </c>
      <c r="L13" s="150">
        <f>L9/L11*L12</f>
        <v/>
      </c>
      <c r="M13" s="150">
        <f>M9/M11*M12</f>
        <v/>
      </c>
      <c r="N13" s="151">
        <f>(N9*N12/#REF!)</f>
        <v/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mergeCells count="37">
    <mergeCell ref="H9:H10"/>
    <mergeCell ref="E6:F7"/>
    <mergeCell ref="J9:J10"/>
    <mergeCell ref="G6:H7"/>
    <mergeCell ref="G2:H2"/>
    <mergeCell ref="I2:J2"/>
    <mergeCell ref="C5:D5"/>
    <mergeCell ref="G4:M4"/>
    <mergeCell ref="E5:F5"/>
    <mergeCell ref="K6:M7"/>
    <mergeCell ref="C9:C10"/>
    <mergeCell ref="E9:E10"/>
    <mergeCell ref="A4:F4"/>
    <mergeCell ref="G3:H3"/>
    <mergeCell ref="I3:J3"/>
    <mergeCell ref="D9:D10"/>
    <mergeCell ref="A1:M1"/>
    <mergeCell ref="F9:F10"/>
    <mergeCell ref="L9:L10"/>
    <mergeCell ref="C6:D7"/>
    <mergeCell ref="I6:J7"/>
    <mergeCell ref="C2:D2"/>
    <mergeCell ref="E2:F2"/>
    <mergeCell ref="A5:B5"/>
    <mergeCell ref="G5:H5"/>
    <mergeCell ref="I5:J5"/>
    <mergeCell ref="K3:M3"/>
    <mergeCell ref="G9:G10"/>
    <mergeCell ref="I9:I10"/>
    <mergeCell ref="K9:K10"/>
    <mergeCell ref="A9:A10"/>
    <mergeCell ref="M9:M10"/>
    <mergeCell ref="K5:M5"/>
    <mergeCell ref="A6:B7"/>
    <mergeCell ref="K2:N2"/>
    <mergeCell ref="C3:D3"/>
    <mergeCell ref="E3:F3"/>
  </mergeCells>
  <pageMargins left="0.7" right="0.7" top="0.75" bottom="0.75" header="0.511805555555555" footer="0.511805555555555"/>
  <pageSetup orientation="landscape" scale="68" firstPageNumber="0" horizontalDpi="300" verticalDpi="300"/>
  <colBreaks count="1" manualBreakCount="1">
    <brk id="14" min="0" max="1048575" man="1"/>
  </col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0"/>
  <sheetViews>
    <sheetView topLeftCell="A5" zoomScale="82" zoomScaleNormal="82" workbookViewId="0">
      <selection activeCell="I11" sqref="I11"/>
    </sheetView>
  </sheetViews>
  <sheetFormatPr baseColWidth="10" defaultColWidth="9.140625" defaultRowHeight="15"/>
  <cols>
    <col width="30.5703125" customWidth="1" style="24" min="1" max="1"/>
    <col width="16.28515625" customWidth="1" style="24" min="2" max="2"/>
    <col width="14.140625" customWidth="1" style="24" min="3" max="3"/>
    <col width="14.85546875" customWidth="1" style="24" min="4" max="4"/>
    <col width="15.42578125" customWidth="1" style="24" min="5" max="5"/>
    <col width="17.28515625" customWidth="1" style="24" min="6" max="6"/>
    <col width="17" customWidth="1" style="24" min="7" max="7"/>
    <col width="16.140625" customWidth="1" style="24" min="8" max="8"/>
    <col width="14.140625" customWidth="1" style="24" min="9" max="9"/>
    <col width="13.42578125" customWidth="1" style="24" min="10" max="10"/>
    <col width="14.42578125" customWidth="1" style="24" min="11" max="11"/>
    <col width="13.42578125" customWidth="1" style="24" min="12" max="12"/>
    <col width="15.7109375" customWidth="1" style="24" min="13" max="13"/>
    <col width="9.140625" customWidth="1" style="24" min="14" max="1023"/>
    <col width="9.140625" customWidth="1" style="23" min="1024" max="1025"/>
    <col width="9.140625" customWidth="1" style="23" min="1026" max="16384"/>
  </cols>
  <sheetData>
    <row r="1" ht="36" customHeight="1" s="89">
      <c r="A1" s="192" t="inlineStr">
        <is>
          <t>FICHA TÉCNICA</t>
        </is>
      </c>
      <c r="B1" s="168" t="n"/>
      <c r="C1" s="168" t="n"/>
      <c r="D1" s="168" t="n"/>
      <c r="E1" s="168" t="n"/>
      <c r="F1" s="168" t="n"/>
      <c r="G1" s="168" t="n"/>
      <c r="H1" s="168" t="n"/>
      <c r="I1" s="168" t="n"/>
      <c r="J1" s="168" t="n"/>
      <c r="K1" s="168" t="n"/>
      <c r="L1" s="168" t="n"/>
      <c r="M1" s="169" t="n"/>
    </row>
    <row r="2" ht="31.5" customHeight="1" s="89">
      <c r="A2" s="138" t="inlineStr">
        <is>
          <t xml:space="preserve">NOMBRE DEL INDICADOR </t>
        </is>
      </c>
      <c r="B2" s="138" t="inlineStr">
        <is>
          <t xml:space="preserve">TIPO INDICADOR </t>
        </is>
      </c>
      <c r="C2" s="138" t="inlineStr">
        <is>
          <t xml:space="preserve">FORMULA DE INDICADOR </t>
        </is>
      </c>
      <c r="D2" s="169" t="n"/>
      <c r="E2" s="138" t="inlineStr">
        <is>
          <t>DEFINICIÓN</t>
        </is>
      </c>
      <c r="F2" s="169" t="n"/>
      <c r="G2" s="138" t="inlineStr">
        <is>
          <t>INTERPRETACIÓN</t>
        </is>
      </c>
      <c r="H2" s="169" t="n"/>
      <c r="I2" s="138" t="inlineStr">
        <is>
          <t>UNIDAD DE MEDIDA</t>
        </is>
      </c>
      <c r="J2" s="169" t="n"/>
      <c r="K2" s="138" t="inlineStr">
        <is>
          <t>META</t>
        </is>
      </c>
      <c r="L2" s="168" t="n"/>
      <c r="M2" s="169" t="n"/>
    </row>
    <row r="3" ht="173.25" customHeight="1" s="89">
      <c r="A3" s="139" t="inlineStr">
        <is>
          <t>Indice de frecuencia de enfermedades laborales con incapacidad</t>
        </is>
      </c>
      <c r="B3" s="151" t="inlineStr">
        <is>
          <t xml:space="preserve">Resultado </t>
        </is>
      </c>
      <c r="C3" s="139" t="inlineStr">
        <is>
          <t>I.F.E.L= (N° DE E.L EN EL PERIODO CON INCAPACIDAD / N° HHT EN EL PERIODO)*K</t>
        </is>
      </c>
      <c r="D3" s="169" t="n"/>
      <c r="E3" s="139" t="inlineStr">
        <is>
          <t>Expresa el total de EL incapacitantes ocurridos durante el ultimo año, por cada 100 trabajadores de tiempo completo.</t>
        </is>
      </c>
      <c r="F3" s="169" t="n"/>
      <c r="G3" s="139" t="inlineStr">
        <is>
          <t>por cada 100 trabajadores, se presentan 0 enfermedades laborales con incapcidad en el mes</t>
        </is>
      </c>
      <c r="H3" s="169" t="n"/>
      <c r="I3" s="151" t="inlineStr">
        <is>
          <t>Porcentaje</t>
        </is>
      </c>
      <c r="J3" s="169" t="n"/>
      <c r="K3" s="141" t="n">
        <v>0</v>
      </c>
      <c r="L3" s="168" t="n"/>
      <c r="M3" s="169" t="n"/>
    </row>
    <row r="4" ht="33.75" customHeight="1" s="89">
      <c r="A4" s="142" t="inlineStr">
        <is>
          <t xml:space="preserve">TIPO DE INDICADOR </t>
        </is>
      </c>
      <c r="B4" s="168" t="n"/>
      <c r="C4" s="168" t="n"/>
      <c r="D4" s="168" t="n"/>
      <c r="E4" s="168" t="n"/>
      <c r="F4" s="169" t="n"/>
      <c r="G4" s="142" t="inlineStr">
        <is>
          <t>PERIORICIDAD</t>
        </is>
      </c>
      <c r="H4" s="168" t="n"/>
      <c r="I4" s="168" t="n"/>
      <c r="J4" s="168" t="n"/>
      <c r="K4" s="168" t="n"/>
      <c r="L4" s="168" t="n"/>
      <c r="M4" s="169" t="n"/>
    </row>
    <row r="5" ht="12.75" customFormat="1" customHeight="1" s="28">
      <c r="A5" s="145" t="inlineStr">
        <is>
          <t>ESTRUCTURA</t>
        </is>
      </c>
      <c r="B5" s="169" t="n"/>
      <c r="C5" s="145" t="inlineStr">
        <is>
          <t>PROCESO</t>
        </is>
      </c>
      <c r="D5" s="169" t="n"/>
      <c r="E5" s="145" t="inlineStr">
        <is>
          <t>RESULTADO</t>
        </is>
      </c>
      <c r="F5" s="169" t="n"/>
      <c r="G5" s="145" t="inlineStr">
        <is>
          <t>MENSUAL</t>
        </is>
      </c>
      <c r="H5" s="169" t="n"/>
      <c r="I5" s="145" t="inlineStr">
        <is>
          <t>SEMESTRAL</t>
        </is>
      </c>
      <c r="J5" s="169" t="n"/>
      <c r="K5" s="145" t="inlineStr">
        <is>
          <t>ANUAL</t>
        </is>
      </c>
      <c r="L5" s="168" t="n"/>
      <c r="M5" s="169" t="n"/>
    </row>
    <row r="6">
      <c r="A6" s="138" t="n"/>
      <c r="B6" s="176" t="n"/>
      <c r="C6" s="145" t="n"/>
      <c r="D6" s="176" t="n"/>
      <c r="E6" s="145" t="inlineStr">
        <is>
          <t>X</t>
        </is>
      </c>
      <c r="F6" s="176" t="n"/>
      <c r="G6" s="145" t="inlineStr">
        <is>
          <t>X</t>
        </is>
      </c>
      <c r="H6" s="176" t="n"/>
      <c r="I6" s="147" t="n"/>
      <c r="J6" s="176" t="n"/>
      <c r="K6" s="147" t="n"/>
      <c r="L6" s="177" t="n"/>
      <c r="M6" s="176" t="n"/>
    </row>
    <row r="7">
      <c r="A7" s="178" t="n"/>
      <c r="B7" s="179" t="n"/>
      <c r="C7" s="178" t="n"/>
      <c r="D7" s="179" t="n"/>
      <c r="E7" s="178" t="n"/>
      <c r="F7" s="179" t="n"/>
      <c r="G7" s="178" t="n"/>
      <c r="H7" s="179" t="n"/>
      <c r="I7" s="178" t="n"/>
      <c r="J7" s="179" t="n"/>
      <c r="K7" s="178" t="n"/>
      <c r="L7" s="180" t="n"/>
      <c r="M7" s="179" t="n"/>
    </row>
    <row r="8">
      <c r="A8" s="148" t="inlineStr">
        <is>
          <t>VARIABLE</t>
        </is>
      </c>
      <c r="B8" s="30" t="inlineStr">
        <is>
          <t xml:space="preserve">ENERO </t>
        </is>
      </c>
      <c r="C8" s="30" t="inlineStr">
        <is>
          <t>FEBRERO</t>
        </is>
      </c>
      <c r="D8" s="30" t="inlineStr">
        <is>
          <t>MARZO</t>
        </is>
      </c>
      <c r="E8" s="30" t="inlineStr">
        <is>
          <t>ABRIL</t>
        </is>
      </c>
      <c r="F8" s="30" t="inlineStr">
        <is>
          <t>MAYO</t>
        </is>
      </c>
      <c r="G8" s="30" t="inlineStr">
        <is>
          <t>JUNIO</t>
        </is>
      </c>
      <c r="H8" s="30" t="inlineStr">
        <is>
          <t>JULIO</t>
        </is>
      </c>
      <c r="I8" s="30" t="inlineStr">
        <is>
          <t>AGOSTO</t>
        </is>
      </c>
      <c r="J8" s="30" t="inlineStr">
        <is>
          <t>SEPTIEMBRE</t>
        </is>
      </c>
      <c r="K8" s="30" t="inlineStr">
        <is>
          <t>OCTUBRE</t>
        </is>
      </c>
      <c r="L8" s="30" t="inlineStr">
        <is>
          <t>NOVIEMBRE</t>
        </is>
      </c>
      <c r="M8" s="30" t="inlineStr">
        <is>
          <t>DICIEMBRE</t>
        </is>
      </c>
    </row>
    <row r="9" ht="12.75" customFormat="1" customHeight="1" s="41">
      <c r="A9" s="156" t="inlineStr">
        <is>
          <t>Número de E.L con incapacidad</t>
        </is>
      </c>
      <c r="B9" s="41" t="n">
        <v>0</v>
      </c>
      <c r="C9" s="155" t="n">
        <v>0</v>
      </c>
      <c r="D9" s="155" t="n">
        <v>0</v>
      </c>
      <c r="E9" s="155" t="n">
        <v>0</v>
      </c>
      <c r="F9" s="155" t="n">
        <v>0</v>
      </c>
      <c r="G9" s="155" t="n">
        <v>0</v>
      </c>
      <c r="H9" s="155" t="n">
        <v>0</v>
      </c>
      <c r="I9" s="155" t="n">
        <v>0</v>
      </c>
      <c r="J9" s="155" t="n">
        <v>0</v>
      </c>
      <c r="K9" s="155" t="n">
        <v>0</v>
      </c>
      <c r="L9" s="155">
        <f>[2]F.A.!L9</f>
        <v/>
      </c>
      <c r="M9" s="155" t="n">
        <v>0</v>
      </c>
    </row>
    <row r="10" hidden="1" ht="15" customHeight="1" s="89">
      <c r="A10" s="182" t="n"/>
      <c r="C10" s="182" t="n"/>
      <c r="D10" s="182" t="n"/>
      <c r="E10" s="182" t="n"/>
      <c r="F10" s="182" t="n"/>
      <c r="G10" s="182" t="n"/>
      <c r="H10" s="182" t="n"/>
      <c r="I10" s="182" t="n"/>
      <c r="J10" s="182" t="n"/>
      <c r="K10" s="182" t="n"/>
      <c r="L10" s="182" t="n"/>
      <c r="M10" s="182" t="n"/>
    </row>
    <row r="11" ht="12.75" customFormat="1" customHeight="1" s="41">
      <c r="A11" s="43" t="inlineStr">
        <is>
          <t xml:space="preserve">Número de HHT en el periodo </t>
        </is>
      </c>
      <c r="B11" s="44">
        <f>([2]F.A.!B14)</f>
        <v/>
      </c>
      <c r="C11" s="44">
        <f>([2]F.A.!C14)</f>
        <v/>
      </c>
      <c r="D11" s="44">
        <f>([2]F.A.!D14)</f>
        <v/>
      </c>
      <c r="E11" s="44">
        <f>([2]F.A.!E14)</f>
        <v/>
      </c>
      <c r="F11" s="44">
        <f>([2]F.A.!F14)</f>
        <v/>
      </c>
      <c r="G11" s="44">
        <f>([2]F.A.!G14)</f>
        <v/>
      </c>
      <c r="H11" s="44">
        <f>([2]F.A.!H14)</f>
        <v/>
      </c>
      <c r="I11" s="44">
        <f>([2]F.A.!I14)</f>
        <v/>
      </c>
      <c r="J11" s="44">
        <f>([2]F.A.!J14)</f>
        <v/>
      </c>
      <c r="K11" s="44">
        <f>([2]F.A.!K14)</f>
        <v/>
      </c>
      <c r="L11" s="44">
        <f>([2]F.A.!L14)</f>
        <v/>
      </c>
      <c r="M11" s="44">
        <f>([2]F.A.!M14)</f>
        <v/>
      </c>
    </row>
    <row r="12">
      <c r="A12" s="43" t="inlineStr">
        <is>
          <t>Constante K</t>
        </is>
      </c>
      <c r="B12" s="155" t="n">
        <v>200000</v>
      </c>
      <c r="C12" s="155" t="n">
        <v>200000</v>
      </c>
      <c r="D12" s="155" t="n">
        <v>200000</v>
      </c>
      <c r="E12" s="155" t="n">
        <v>200000</v>
      </c>
      <c r="F12" s="155" t="n">
        <v>200000</v>
      </c>
      <c r="G12" s="155" t="n">
        <v>200000</v>
      </c>
      <c r="H12" s="155" t="n">
        <v>200000</v>
      </c>
      <c r="I12" s="155" t="n">
        <v>200000</v>
      </c>
      <c r="J12" s="155" t="n">
        <v>200000</v>
      </c>
      <c r="K12" s="155" t="n">
        <v>200000</v>
      </c>
      <c r="L12" s="155" t="n">
        <v>200000</v>
      </c>
      <c r="M12" s="155" t="n">
        <v>200000</v>
      </c>
    </row>
    <row r="13" ht="30.75" customHeight="1" s="89">
      <c r="A13" s="45" t="inlineStr">
        <is>
          <t>I.F.E.L. Con Incapacidad</t>
        </is>
      </c>
      <c r="B13" s="150">
        <f>B9/B11*B12</f>
        <v/>
      </c>
      <c r="C13" s="150">
        <f>C9/C11*C12</f>
        <v/>
      </c>
      <c r="D13" s="150">
        <f>D9/D11*D12</f>
        <v/>
      </c>
      <c r="E13" s="150">
        <f>E9/E11*E12</f>
        <v/>
      </c>
      <c r="F13" s="150">
        <f>F9/F11*F12</f>
        <v/>
      </c>
      <c r="G13" s="150">
        <f>G9/G11*G12</f>
        <v/>
      </c>
      <c r="H13" s="150">
        <f>H9/H11*H12</f>
        <v/>
      </c>
      <c r="I13" s="150">
        <f>I9/I11*I12</f>
        <v/>
      </c>
      <c r="J13" s="150">
        <f>J9/J11*J12</f>
        <v/>
      </c>
      <c r="K13" s="150">
        <f>K9/K11*K12</f>
        <v/>
      </c>
      <c r="L13" s="150">
        <f>L9/L11*L12</f>
        <v/>
      </c>
      <c r="M13" s="150">
        <f>M9/M11*M12</f>
        <v/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mergeCells count="37">
    <mergeCell ref="H9:H10"/>
    <mergeCell ref="E6:F7"/>
    <mergeCell ref="J9:J10"/>
    <mergeCell ref="G6:H7"/>
    <mergeCell ref="G2:H2"/>
    <mergeCell ref="I2:J2"/>
    <mergeCell ref="C5:D5"/>
    <mergeCell ref="G4:M4"/>
    <mergeCell ref="E5:F5"/>
    <mergeCell ref="K6:M7"/>
    <mergeCell ref="C9:C10"/>
    <mergeCell ref="E9:E10"/>
    <mergeCell ref="K2:M2"/>
    <mergeCell ref="A4:F4"/>
    <mergeCell ref="G3:H3"/>
    <mergeCell ref="I3:J3"/>
    <mergeCell ref="D9:D10"/>
    <mergeCell ref="A1:M1"/>
    <mergeCell ref="F9:F10"/>
    <mergeCell ref="L9:L10"/>
    <mergeCell ref="C6:D7"/>
    <mergeCell ref="I6:J7"/>
    <mergeCell ref="C2:D2"/>
    <mergeCell ref="E2:F2"/>
    <mergeCell ref="A5:B5"/>
    <mergeCell ref="G5:H5"/>
    <mergeCell ref="I5:J5"/>
    <mergeCell ref="K3:M3"/>
    <mergeCell ref="G9:G10"/>
    <mergeCell ref="I9:I10"/>
    <mergeCell ref="K9:K10"/>
    <mergeCell ref="A9:A10"/>
    <mergeCell ref="M9:M10"/>
    <mergeCell ref="K5:M5"/>
    <mergeCell ref="A6:B7"/>
    <mergeCell ref="C3:D3"/>
    <mergeCell ref="E3:F3"/>
  </mergeCells>
  <pageMargins left="0.7" right="0.7" top="0.75" bottom="0.75" header="0.511805555555555" footer="0.511805555555555"/>
  <pageSetup orientation="landscape" scale="68" firstPageNumber="0" horizontalDpi="300" verticalDpi="300"/>
  <colBreaks count="1" manualBreakCount="1">
    <brk id="13" min="0" max="1048575" man="1"/>
  </colBreaks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0"/>
  <sheetViews>
    <sheetView topLeftCell="A4" zoomScale="82" zoomScaleNormal="82" workbookViewId="0">
      <selection activeCell="J9" sqref="J9"/>
    </sheetView>
  </sheetViews>
  <sheetFormatPr baseColWidth="10" defaultColWidth="9.140625" defaultRowHeight="15"/>
  <cols>
    <col width="28.42578125" customWidth="1" style="24" min="1" max="1"/>
    <col width="14.42578125" customWidth="1" style="24" min="2" max="2"/>
    <col width="14.28515625" customWidth="1" style="24" min="3" max="3"/>
    <col width="13" customWidth="1" style="24" min="4" max="4"/>
    <col width="13.140625" customWidth="1" style="24" min="5" max="5"/>
    <col width="13.7109375" customWidth="1" style="24" min="6" max="6"/>
    <col width="14" customWidth="1" style="24" min="7" max="7"/>
    <col width="13.140625" customWidth="1" style="24" min="8" max="8"/>
    <col width="11.85546875" customWidth="1" style="24" min="9" max="9"/>
    <col width="12.5703125" customWidth="1" style="24" min="10" max="10"/>
    <col width="11.7109375" customWidth="1" style="24" min="11" max="11"/>
    <col width="12.5703125" customWidth="1" style="24" min="12" max="12"/>
    <col width="12.85546875" customWidth="1" style="24" min="13" max="13"/>
    <col width="9.140625" customWidth="1" style="24" min="14" max="1023"/>
    <col width="9.140625" customWidth="1" style="23" min="1024" max="1025"/>
    <col width="9.140625" customWidth="1" style="23" min="1026" max="16384"/>
  </cols>
  <sheetData>
    <row r="1" ht="33" customHeight="1" s="89">
      <c r="A1" s="192" t="inlineStr">
        <is>
          <t>FICHA TÉCNICA</t>
        </is>
      </c>
      <c r="B1" s="168" t="n"/>
      <c r="C1" s="168" t="n"/>
      <c r="D1" s="168" t="n"/>
      <c r="E1" s="168" t="n"/>
      <c r="F1" s="168" t="n"/>
      <c r="G1" s="168" t="n"/>
      <c r="H1" s="168" t="n"/>
      <c r="I1" s="168" t="n"/>
      <c r="J1" s="168" t="n"/>
      <c r="K1" s="168" t="n"/>
      <c r="L1" s="168" t="n"/>
      <c r="M1" s="169" t="n"/>
    </row>
    <row r="2" ht="31.5" customHeight="1" s="89">
      <c r="A2" s="138" t="inlineStr">
        <is>
          <t xml:space="preserve">NOMBRE DEL INDICADOR </t>
        </is>
      </c>
      <c r="B2" s="138" t="inlineStr">
        <is>
          <t xml:space="preserve">TIPO INDICADOR </t>
        </is>
      </c>
      <c r="C2" s="138" t="inlineStr">
        <is>
          <t xml:space="preserve">FORMULA DE INDICADOR </t>
        </is>
      </c>
      <c r="D2" s="169" t="n"/>
      <c r="E2" s="138" t="inlineStr">
        <is>
          <t>DEFINICIÓN</t>
        </is>
      </c>
      <c r="F2" s="169" t="n"/>
      <c r="G2" s="138" t="inlineStr">
        <is>
          <t>INTERPRETACIÓN</t>
        </is>
      </c>
      <c r="H2" s="169" t="n"/>
      <c r="I2" s="138" t="inlineStr">
        <is>
          <t>UNIDAD DE MEDIDA</t>
        </is>
      </c>
      <c r="J2" s="169" t="n"/>
      <c r="K2" s="138" t="inlineStr">
        <is>
          <t>META</t>
        </is>
      </c>
      <c r="L2" s="168" t="n"/>
      <c r="M2" s="169" t="n"/>
    </row>
    <row r="3" ht="173.25" customHeight="1" s="89">
      <c r="A3" s="139" t="inlineStr">
        <is>
          <t>Indice de Severidad de enfermedad laboral</t>
        </is>
      </c>
      <c r="B3" s="151" t="inlineStr">
        <is>
          <t xml:space="preserve">Resultado </t>
        </is>
      </c>
      <c r="C3" s="139" t="inlineStr">
        <is>
          <t>I.S.E.L= (N° DIAS PERDIDOS Y CARGADOS POR E.L EN EL PERIODO / N° HHT PERIODO)*K</t>
        </is>
      </c>
      <c r="D3" s="169" t="n"/>
      <c r="E3" s="139" t="inlineStr">
        <is>
          <t>Es la relación entre el numero de dias perdidos y cargados por enfermedades laborales, durante un periodo y el total de HHT durante un periodo y multiplicado por K</t>
        </is>
      </c>
      <c r="F3" s="169" t="n"/>
      <c r="G3" s="139" t="inlineStr">
        <is>
          <t>por 780 horas trabajadas al mes se pierden por enfermedades laborales 0 dias</t>
        </is>
      </c>
      <c r="H3" s="169" t="n"/>
      <c r="I3" s="151" t="inlineStr">
        <is>
          <t>Porcentaje</t>
        </is>
      </c>
      <c r="J3" s="169" t="n"/>
      <c r="K3" s="141" t="n">
        <v>0</v>
      </c>
      <c r="L3" s="168" t="n"/>
      <c r="M3" s="169" t="n"/>
    </row>
    <row r="4" ht="22.5" customHeight="1" s="89">
      <c r="A4" s="142" t="inlineStr">
        <is>
          <t xml:space="preserve">TIPO DE INDICADOR </t>
        </is>
      </c>
      <c r="B4" s="168" t="n"/>
      <c r="C4" s="168" t="n"/>
      <c r="D4" s="168" t="n"/>
      <c r="E4" s="168" t="n"/>
      <c r="F4" s="169" t="n"/>
      <c r="G4" s="142" t="inlineStr">
        <is>
          <t>PERIORICIDAD</t>
        </is>
      </c>
      <c r="H4" s="168" t="n"/>
      <c r="I4" s="168" t="n"/>
      <c r="J4" s="168" t="n"/>
      <c r="K4" s="168" t="n"/>
      <c r="L4" s="168" t="n"/>
      <c r="M4" s="169" t="n"/>
    </row>
    <row r="5" ht="12.75" customFormat="1" customHeight="1" s="28">
      <c r="A5" s="145" t="inlineStr">
        <is>
          <t>ESTRUCTURA</t>
        </is>
      </c>
      <c r="B5" s="169" t="n"/>
      <c r="C5" s="145" t="inlineStr">
        <is>
          <t>PROCESO</t>
        </is>
      </c>
      <c r="D5" s="169" t="n"/>
      <c r="E5" s="145" t="inlineStr">
        <is>
          <t>RESULTADO</t>
        </is>
      </c>
      <c r="F5" s="169" t="n"/>
      <c r="G5" s="145" t="inlineStr">
        <is>
          <t>MENSUAL</t>
        </is>
      </c>
      <c r="H5" s="169" t="n"/>
      <c r="I5" s="145" t="inlineStr">
        <is>
          <t>SEMESTRAL</t>
        </is>
      </c>
      <c r="J5" s="169" t="n"/>
      <c r="K5" s="145" t="inlineStr">
        <is>
          <t>ANUAL</t>
        </is>
      </c>
      <c r="L5" s="168" t="n"/>
      <c r="M5" s="169" t="n"/>
    </row>
    <row r="6">
      <c r="A6" s="138" t="n"/>
      <c r="B6" s="176" t="n"/>
      <c r="C6" s="145" t="n"/>
      <c r="D6" s="176" t="n"/>
      <c r="E6" s="145" t="inlineStr">
        <is>
          <t>X</t>
        </is>
      </c>
      <c r="F6" s="176" t="n"/>
      <c r="G6" s="145" t="inlineStr">
        <is>
          <t>X</t>
        </is>
      </c>
      <c r="H6" s="176" t="n"/>
      <c r="I6" s="147" t="n"/>
      <c r="J6" s="176" t="n"/>
      <c r="K6" s="147" t="n"/>
      <c r="L6" s="177" t="n"/>
      <c r="M6" s="176" t="n"/>
    </row>
    <row r="7">
      <c r="A7" s="178" t="n"/>
      <c r="B7" s="179" t="n"/>
      <c r="C7" s="178" t="n"/>
      <c r="D7" s="179" t="n"/>
      <c r="E7" s="178" t="n"/>
      <c r="F7" s="179" t="n"/>
      <c r="G7" s="178" t="n"/>
      <c r="H7" s="179" t="n"/>
      <c r="I7" s="178" t="n"/>
      <c r="J7" s="179" t="n"/>
      <c r="K7" s="178" t="n"/>
      <c r="L7" s="180" t="n"/>
      <c r="M7" s="179" t="n"/>
    </row>
    <row r="8">
      <c r="A8" s="148" t="inlineStr">
        <is>
          <t>VARIABLE</t>
        </is>
      </c>
      <c r="B8" s="30" t="inlineStr">
        <is>
          <t xml:space="preserve">ENERO </t>
        </is>
      </c>
      <c r="C8" s="30" t="inlineStr">
        <is>
          <t>FEBRERO</t>
        </is>
      </c>
      <c r="D8" s="30" t="inlineStr">
        <is>
          <t>MARZO</t>
        </is>
      </c>
      <c r="E8" s="30" t="inlineStr">
        <is>
          <t>ABRIL</t>
        </is>
      </c>
      <c r="F8" s="30" t="inlineStr">
        <is>
          <t>MAYO</t>
        </is>
      </c>
      <c r="G8" s="30" t="inlineStr">
        <is>
          <t>JUNIO</t>
        </is>
      </c>
      <c r="H8" s="30" t="inlineStr">
        <is>
          <t>JULIO</t>
        </is>
      </c>
      <c r="I8" s="30" t="inlineStr">
        <is>
          <t>AGOSTO</t>
        </is>
      </c>
      <c r="J8" s="30" t="inlineStr">
        <is>
          <t>SEPTIEMBRE</t>
        </is>
      </c>
      <c r="K8" s="30" t="inlineStr">
        <is>
          <t>OCTUBRE</t>
        </is>
      </c>
      <c r="L8" s="30" t="inlineStr">
        <is>
          <t>NOVIEMBRE</t>
        </is>
      </c>
      <c r="M8" s="30" t="inlineStr">
        <is>
          <t>DICIEMBRE</t>
        </is>
      </c>
    </row>
    <row r="9" ht="26.25" customFormat="1" customHeight="1" s="41">
      <c r="A9" s="95" t="inlineStr">
        <is>
          <t>Número de días perdidos por EL</t>
        </is>
      </c>
      <c r="B9" s="151" t="n">
        <v>0</v>
      </c>
      <c r="C9" s="151" t="n">
        <v>0</v>
      </c>
      <c r="D9" s="151" t="n">
        <v>0</v>
      </c>
      <c r="E9" s="151" t="n">
        <v>0</v>
      </c>
      <c r="F9" s="151" t="n">
        <v>0</v>
      </c>
      <c r="G9" s="151" t="n">
        <v>0</v>
      </c>
      <c r="H9" s="151" t="n">
        <v>0</v>
      </c>
      <c r="I9" s="151" t="n">
        <v>0</v>
      </c>
      <c r="J9" s="151" t="n">
        <v>0</v>
      </c>
      <c r="K9" s="151" t="n">
        <v>0</v>
      </c>
      <c r="L9" s="151" t="n">
        <v>0</v>
      </c>
      <c r="M9" s="151" t="n">
        <v>0</v>
      </c>
    </row>
    <row r="10" ht="27.75" customHeight="1" s="89">
      <c r="A10" s="96" t="inlineStr">
        <is>
          <t xml:space="preserve">Número de HHT en el periodo </t>
        </is>
      </c>
      <c r="B10" s="149">
        <f>([2]F.A.!B14)</f>
        <v/>
      </c>
      <c r="C10" s="149">
        <f>([2]F.A.!C14)</f>
        <v/>
      </c>
      <c r="D10" s="149">
        <f>([2]F.A.!D14)</f>
        <v/>
      </c>
      <c r="E10" s="149">
        <f>([2]F.A.!E14)</f>
        <v/>
      </c>
      <c r="F10" s="149">
        <f>([2]F.A.!F14)</f>
        <v/>
      </c>
      <c r="G10" s="149">
        <f>([2]F.A.!G14)</f>
        <v/>
      </c>
      <c r="H10" s="149">
        <f>([2]F.A.!H14)</f>
        <v/>
      </c>
      <c r="I10" s="149">
        <f>([2]F.A.!I14)</f>
        <v/>
      </c>
      <c r="J10" s="149">
        <f>([2]F.A.!J14)</f>
        <v/>
      </c>
      <c r="K10" s="149">
        <f>([2]F.A.!K14)</f>
        <v/>
      </c>
      <c r="L10" s="149">
        <f>([2]F.A.!L14)</f>
        <v/>
      </c>
      <c r="M10" s="149">
        <f>([2]F.A.!M14)</f>
        <v/>
      </c>
    </row>
    <row r="11" ht="18.75" customHeight="1" s="89">
      <c r="A11" s="96" t="inlineStr">
        <is>
          <t>Constante K</t>
        </is>
      </c>
      <c r="B11" s="155" t="n">
        <v>200000</v>
      </c>
      <c r="C11" s="155" t="n">
        <v>200000</v>
      </c>
      <c r="D11" s="155" t="n">
        <v>200000</v>
      </c>
      <c r="E11" s="155" t="n">
        <v>200000</v>
      </c>
      <c r="F11" s="155" t="n">
        <v>200000</v>
      </c>
      <c r="G11" s="155" t="n">
        <v>200000</v>
      </c>
      <c r="H11" s="155" t="n">
        <v>200000</v>
      </c>
      <c r="I11" s="155" t="n">
        <v>200000</v>
      </c>
      <c r="J11" s="155" t="n">
        <v>200000</v>
      </c>
      <c r="K11" s="155" t="n">
        <v>200000</v>
      </c>
      <c r="L11" s="155" t="n">
        <v>200000</v>
      </c>
      <c r="M11" s="155" t="n">
        <v>200000</v>
      </c>
    </row>
    <row r="12" ht="30.75" customHeight="1" s="89">
      <c r="A12" s="97" t="inlineStr">
        <is>
          <t>Indice de Severidad de enfermedad laboral</t>
        </is>
      </c>
      <c r="B12" s="74">
        <f>B9/B10*B11</f>
        <v/>
      </c>
      <c r="C12" s="74">
        <f>C9/C10*C11</f>
        <v/>
      </c>
      <c r="D12" s="74">
        <f>D9/D10*D11</f>
        <v/>
      </c>
      <c r="E12" s="74">
        <f>E9/E10*E11</f>
        <v/>
      </c>
      <c r="F12" s="74">
        <f>F9/F10*F11</f>
        <v/>
      </c>
      <c r="G12" s="74">
        <f>G9/G10*G11</f>
        <v/>
      </c>
      <c r="H12" s="74">
        <f>H9/H10*H11</f>
        <v/>
      </c>
      <c r="I12" s="74">
        <f>I9/I10*I11</f>
        <v/>
      </c>
      <c r="J12" s="74">
        <f>J9/J10*J11</f>
        <v/>
      </c>
      <c r="K12" s="74">
        <f>K9/K10*K11</f>
        <v/>
      </c>
      <c r="L12" s="74">
        <f>L9/L10*L11</f>
        <v/>
      </c>
      <c r="M12" s="74">
        <f>M9/M10*M11</f>
        <v/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mergeCells count="25">
    <mergeCell ref="E6:F7"/>
    <mergeCell ref="G2:H2"/>
    <mergeCell ref="G6:H7"/>
    <mergeCell ref="I2:J2"/>
    <mergeCell ref="C5:D5"/>
    <mergeCell ref="G4:M4"/>
    <mergeCell ref="E5:F5"/>
    <mergeCell ref="K6:M7"/>
    <mergeCell ref="K2:M2"/>
    <mergeCell ref="A4:F4"/>
    <mergeCell ref="G3:H3"/>
    <mergeCell ref="I3:J3"/>
    <mergeCell ref="A1:M1"/>
    <mergeCell ref="C2:D2"/>
    <mergeCell ref="C6:D7"/>
    <mergeCell ref="I6:J7"/>
    <mergeCell ref="E2:F2"/>
    <mergeCell ref="A5:B5"/>
    <mergeCell ref="G5:H5"/>
    <mergeCell ref="I5:J5"/>
    <mergeCell ref="K3:M3"/>
    <mergeCell ref="K5:M5"/>
    <mergeCell ref="A6:B7"/>
    <mergeCell ref="C3:D3"/>
    <mergeCell ref="E3:F3"/>
  </mergeCells>
  <pageMargins left="0.7" right="0.7" top="0.75" bottom="0.75" header="0.511805555555555" footer="0.511805555555555"/>
  <pageSetup orientation="portrait" firstPageNumber="0" horizontalDpi="300" verticalDpi="30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0"/>
  <sheetViews>
    <sheetView topLeftCell="A4" zoomScale="82" zoomScaleNormal="82" workbookViewId="0">
      <selection activeCell="O25" sqref="O25"/>
    </sheetView>
  </sheetViews>
  <sheetFormatPr baseColWidth="10" defaultColWidth="9.140625" defaultRowHeight="15"/>
  <cols>
    <col width="27.7109375" customWidth="1" style="24" min="1" max="1"/>
    <col width="11.5703125" customWidth="1" style="24" min="2" max="2"/>
    <col width="13.5703125" customWidth="1" style="24" min="3" max="3"/>
    <col width="13" customWidth="1" style="24" min="4" max="4"/>
    <col width="12.140625" customWidth="1" style="24" min="5" max="5"/>
    <col width="13.140625" customWidth="1" style="24" min="6" max="6"/>
    <col width="12.5703125" customWidth="1" style="24" min="7" max="8"/>
    <col width="13.42578125" customWidth="1" style="24" min="9" max="9"/>
    <col width="11.85546875" customWidth="1" style="24" min="10" max="10"/>
    <col width="12.5703125" customWidth="1" style="24" min="11" max="11"/>
    <col width="11" customWidth="1" style="24" min="12" max="12"/>
    <col width="12.140625" customWidth="1" style="24" min="13" max="13"/>
    <col hidden="1" width="11.5703125" customWidth="1" style="24" min="14" max="14"/>
    <col width="11.140625" customWidth="1" style="24" min="15" max="1025"/>
    <col width="9.140625" customWidth="1" style="23" min="1026" max="16384"/>
  </cols>
  <sheetData>
    <row r="1" ht="44.25" customHeight="1" s="89">
      <c r="A1" s="192" t="inlineStr">
        <is>
          <t>FICHA TÉCNICA</t>
        </is>
      </c>
      <c r="B1" s="168" t="n"/>
      <c r="C1" s="168" t="n"/>
      <c r="D1" s="168" t="n"/>
      <c r="E1" s="168" t="n"/>
      <c r="F1" s="168" t="n"/>
      <c r="G1" s="168" t="n"/>
      <c r="H1" s="168" t="n"/>
      <c r="I1" s="168" t="n"/>
      <c r="J1" s="168" t="n"/>
      <c r="K1" s="168" t="n"/>
      <c r="L1" s="168" t="n"/>
      <c r="M1" s="169" t="n"/>
      <c r="N1" s="39" t="n"/>
    </row>
    <row r="2" ht="31.5" customHeight="1" s="89">
      <c r="A2" s="138" t="inlineStr">
        <is>
          <t xml:space="preserve">NOMBRE DEL INDICADOR </t>
        </is>
      </c>
      <c r="B2" s="138" t="inlineStr">
        <is>
          <t xml:space="preserve">TIPO INDICADOR </t>
        </is>
      </c>
      <c r="C2" s="138" t="inlineStr">
        <is>
          <t xml:space="preserve">FORMULA DE INDICADOR </t>
        </is>
      </c>
      <c r="D2" s="169" t="n"/>
      <c r="E2" s="138" t="inlineStr">
        <is>
          <t>DEFINICIÓN</t>
        </is>
      </c>
      <c r="F2" s="169" t="n"/>
      <c r="G2" s="138" t="inlineStr">
        <is>
          <t>INTERPRETACIÓN</t>
        </is>
      </c>
      <c r="H2" s="169" t="n"/>
      <c r="I2" s="138" t="inlineStr">
        <is>
          <t>UNIDAD DE MEDIDA</t>
        </is>
      </c>
      <c r="J2" s="169" t="n"/>
      <c r="K2" s="138" t="inlineStr">
        <is>
          <t>META</t>
        </is>
      </c>
      <c r="L2" s="168" t="n"/>
      <c r="M2" s="168" t="n"/>
      <c r="N2" s="169" t="n"/>
    </row>
    <row r="3" ht="173.25" customHeight="1" s="89">
      <c r="A3" s="139" t="inlineStr">
        <is>
          <t>Indice de Lesiones Incapacitantes por A.T</t>
        </is>
      </c>
      <c r="B3" s="151" t="inlineStr">
        <is>
          <t xml:space="preserve">Resultado </t>
        </is>
      </c>
      <c r="C3" s="139" t="inlineStr">
        <is>
          <t>I.L.I.A.T=(I.F.A.T *I.S.A.T)/ constante K</t>
        </is>
      </c>
      <c r="D3" s="169" t="n"/>
      <c r="E3" s="139" t="inlineStr">
        <is>
          <t>Corresponde a la relación entre los indices de frecuencia y severidad de Accidentes de Trabajo con Incapacidad. Es un indice global de comportamiento de lesiones incapacitantes que no tiene unidad, su utilidad radica en la comparación entre diferentes periodos.</t>
        </is>
      </c>
      <c r="F3" s="169" t="n"/>
      <c r="G3" s="139" t="inlineStr">
        <is>
          <t>Por cada 100 trabajadores expuestos se presentan 3 accidentes en el período.</t>
        </is>
      </c>
      <c r="H3" s="169" t="n"/>
      <c r="I3" s="151" t="inlineStr">
        <is>
          <t>Porcentaje</t>
        </is>
      </c>
      <c r="J3" s="169" t="n"/>
      <c r="K3" s="141" t="n">
        <v>0</v>
      </c>
      <c r="L3" s="168" t="n"/>
      <c r="M3" s="169" t="n"/>
      <c r="N3" s="39" t="n"/>
    </row>
    <row r="4" ht="22.5" customHeight="1" s="89">
      <c r="A4" s="142" t="inlineStr">
        <is>
          <t xml:space="preserve">TIPO DE INDICADOR </t>
        </is>
      </c>
      <c r="B4" s="168" t="n"/>
      <c r="C4" s="168" t="n"/>
      <c r="D4" s="168" t="n"/>
      <c r="E4" s="168" t="n"/>
      <c r="F4" s="169" t="n"/>
      <c r="G4" s="142" t="inlineStr">
        <is>
          <t>PERIORICIDAD</t>
        </is>
      </c>
      <c r="H4" s="168" t="n"/>
      <c r="I4" s="168" t="n"/>
      <c r="J4" s="168" t="n"/>
      <c r="K4" s="168" t="n"/>
      <c r="L4" s="168" t="n"/>
      <c r="M4" s="169" t="n"/>
      <c r="N4" s="39" t="n"/>
    </row>
    <row r="5" ht="12.75" customFormat="1" customHeight="1" s="28">
      <c r="A5" s="145" t="inlineStr">
        <is>
          <t>ESTRUCTURA</t>
        </is>
      </c>
      <c r="B5" s="169" t="n"/>
      <c r="C5" s="145" t="inlineStr">
        <is>
          <t>PROCESO</t>
        </is>
      </c>
      <c r="D5" s="169" t="n"/>
      <c r="E5" s="145" t="inlineStr">
        <is>
          <t>RESULTADO</t>
        </is>
      </c>
      <c r="F5" s="169" t="n"/>
      <c r="G5" s="145" t="inlineStr">
        <is>
          <t>MENSUAL</t>
        </is>
      </c>
      <c r="H5" s="169" t="n"/>
      <c r="I5" s="145" t="inlineStr">
        <is>
          <t>SEMESTRAL</t>
        </is>
      </c>
      <c r="J5" s="169" t="n"/>
      <c r="K5" s="145" t="inlineStr">
        <is>
          <t>ANUAL</t>
        </is>
      </c>
      <c r="L5" s="168" t="n"/>
      <c r="M5" s="169" t="n"/>
      <c r="N5" s="40" t="n"/>
    </row>
    <row r="6">
      <c r="A6" s="138" t="n"/>
      <c r="B6" s="176" t="n"/>
      <c r="C6" s="145" t="n"/>
      <c r="D6" s="176" t="n"/>
      <c r="E6" s="145" t="inlineStr">
        <is>
          <t>X</t>
        </is>
      </c>
      <c r="F6" s="176" t="n"/>
      <c r="G6" s="145" t="inlineStr">
        <is>
          <t>X</t>
        </is>
      </c>
      <c r="H6" s="176" t="n"/>
      <c r="I6" s="147" t="n"/>
      <c r="J6" s="176" t="n"/>
      <c r="K6" s="147" t="n"/>
      <c r="L6" s="177" t="n"/>
      <c r="M6" s="176" t="n"/>
      <c r="N6" s="39" t="n"/>
    </row>
    <row r="7">
      <c r="A7" s="178" t="n"/>
      <c r="B7" s="179" t="n"/>
      <c r="C7" s="178" t="n"/>
      <c r="D7" s="179" t="n"/>
      <c r="E7" s="178" t="n"/>
      <c r="F7" s="179" t="n"/>
      <c r="G7" s="178" t="n"/>
      <c r="H7" s="179" t="n"/>
      <c r="I7" s="178" t="n"/>
      <c r="J7" s="179" t="n"/>
      <c r="K7" s="178" t="n"/>
      <c r="L7" s="180" t="n"/>
      <c r="M7" s="179" t="n"/>
      <c r="N7" s="39" t="n"/>
    </row>
    <row r="8">
      <c r="A8" s="148" t="inlineStr">
        <is>
          <t>VARIABLE</t>
        </is>
      </c>
      <c r="B8" s="30" t="inlineStr">
        <is>
          <t xml:space="preserve">ENERO </t>
        </is>
      </c>
      <c r="C8" s="30" t="inlineStr">
        <is>
          <t>FEBRERO</t>
        </is>
      </c>
      <c r="D8" s="30" t="inlineStr">
        <is>
          <t>MARZO</t>
        </is>
      </c>
      <c r="E8" s="30" t="inlineStr">
        <is>
          <t>ABRIL</t>
        </is>
      </c>
      <c r="F8" s="30" t="inlineStr">
        <is>
          <t>MAYO</t>
        </is>
      </c>
      <c r="G8" s="30" t="inlineStr">
        <is>
          <t>JUNIO</t>
        </is>
      </c>
      <c r="H8" s="30" t="inlineStr">
        <is>
          <t>JULIO</t>
        </is>
      </c>
      <c r="I8" s="30" t="inlineStr">
        <is>
          <t>AGOSTO</t>
        </is>
      </c>
      <c r="J8" s="30" t="inlineStr">
        <is>
          <t>SEPTIEMBRE</t>
        </is>
      </c>
      <c r="K8" s="30" t="inlineStr">
        <is>
          <t>OCTUBRE</t>
        </is>
      </c>
      <c r="L8" s="30" t="inlineStr">
        <is>
          <t>NOVIEMBRE</t>
        </is>
      </c>
      <c r="M8" s="30" t="inlineStr">
        <is>
          <t>DICIEMBRE</t>
        </is>
      </c>
      <c r="N8" s="39" t="n"/>
    </row>
    <row r="9" ht="12.75" customFormat="1" customHeight="1" s="41">
      <c r="A9" s="156" t="inlineStr">
        <is>
          <t>I.F.A.T con incapacidad</t>
        </is>
      </c>
      <c r="B9" s="44">
        <f>'I.F.A.T con incapacidad'!B13:B13</f>
        <v/>
      </c>
      <c r="C9" s="44">
        <f>'I.F.A.T con incapacidad'!C13</f>
        <v/>
      </c>
      <c r="D9" s="44">
        <f>'I.F.A.T con incapacidad'!D13</f>
        <v/>
      </c>
      <c r="E9" s="44">
        <f>'I.F.A.T con incapacidad'!E13</f>
        <v/>
      </c>
      <c r="F9" s="44">
        <f>'I.F.A.T con incapacidad'!F13</f>
        <v/>
      </c>
      <c r="G9" s="44">
        <f>'I.F.A.T con incapacidad'!G13</f>
        <v/>
      </c>
      <c r="H9" s="44">
        <f>'I.F.A.T con incapacidad'!H13</f>
        <v/>
      </c>
      <c r="I9" s="44">
        <f>'I.F.A.T con incapacidad'!I13</f>
        <v/>
      </c>
      <c r="J9" s="44">
        <f>'I.F.A.T con incapacidad'!J13</f>
        <v/>
      </c>
      <c r="K9" s="44">
        <f>'I.F.A.T con incapacidad'!K13</f>
        <v/>
      </c>
      <c r="L9" s="44">
        <f>'I.F.A.T con incapacidad'!L13</f>
        <v/>
      </c>
      <c r="M9" s="44">
        <f>'I.F.A.T con incapacidad'!M13</f>
        <v/>
      </c>
      <c r="N9" s="151" t="n"/>
    </row>
    <row r="10">
      <c r="A10" s="43" t="inlineStr">
        <is>
          <t>Indice de severidad AT</t>
        </is>
      </c>
      <c r="B10" s="149">
        <f>'[3]Severidad de accidentalidad '!B12:B12</f>
        <v/>
      </c>
      <c r="C10" s="149">
        <f>'[3]Severidad de accidentalidad '!C12</f>
        <v/>
      </c>
      <c r="D10" s="149">
        <f>'[3]Severidad de accidentalidad '!D12</f>
        <v/>
      </c>
      <c r="E10" s="149">
        <f>'[3]Severidad de accidentalidad '!E12</f>
        <v/>
      </c>
      <c r="F10" s="149">
        <f>'[3]Severidad de accidentalidad '!F12</f>
        <v/>
      </c>
      <c r="G10" s="149">
        <f>'[3]Severidad de accidentalidad '!G12</f>
        <v/>
      </c>
      <c r="H10" s="149">
        <f>'[3]Severidad de accidentalidad '!H12</f>
        <v/>
      </c>
      <c r="I10" s="149">
        <f>'[3]Severidad de accidentalidad '!I12</f>
        <v/>
      </c>
      <c r="J10" s="149">
        <f>'[3]Severidad de accidentalidad '!J12</f>
        <v/>
      </c>
      <c r="K10" s="149">
        <f>'[3]Severidad de accidentalidad '!K12</f>
        <v/>
      </c>
      <c r="L10" s="149">
        <f>'[3]Severidad de accidentalidad '!L12</f>
        <v/>
      </c>
      <c r="M10" s="149">
        <f>'[3]Severidad de accidentalidad '!M12</f>
        <v/>
      </c>
      <c r="N10" s="151" t="n"/>
    </row>
    <row r="11">
      <c r="A11" s="43" t="inlineStr">
        <is>
          <t>Constante K</t>
        </is>
      </c>
      <c r="B11" s="155" t="n">
        <v>1000</v>
      </c>
      <c r="C11" s="155" t="n">
        <v>1000</v>
      </c>
      <c r="D11" s="155" t="n">
        <v>1000</v>
      </c>
      <c r="E11" s="155" t="n">
        <v>1000</v>
      </c>
      <c r="F11" s="155" t="n">
        <v>1000</v>
      </c>
      <c r="G11" s="155" t="n">
        <v>1000</v>
      </c>
      <c r="H11" s="155" t="n">
        <v>1000</v>
      </c>
      <c r="I11" s="155" t="n">
        <v>1000</v>
      </c>
      <c r="J11" s="155" t="n">
        <v>1000</v>
      </c>
      <c r="K11" s="155" t="n">
        <v>1000</v>
      </c>
      <c r="L11" s="155" t="n">
        <v>1000</v>
      </c>
      <c r="M11" s="155" t="n">
        <v>1000</v>
      </c>
      <c r="N11" s="151" t="n"/>
    </row>
    <row r="12" ht="30.75" customHeight="1" s="89">
      <c r="A12" s="45" t="inlineStr">
        <is>
          <t>Indice de Lesiones Incapacitantes por A.T</t>
        </is>
      </c>
      <c r="B12" s="65">
        <f>(B9*B10)/B11</f>
        <v/>
      </c>
      <c r="C12" s="65">
        <f>C9*C10/C11</f>
        <v/>
      </c>
      <c r="D12" s="65">
        <f>D9*D10/D11</f>
        <v/>
      </c>
      <c r="E12" s="65">
        <f>E9*E10/E11</f>
        <v/>
      </c>
      <c r="F12" s="65">
        <f>F9*F10/F11</f>
        <v/>
      </c>
      <c r="G12" s="65">
        <f>G9*G10/G11</f>
        <v/>
      </c>
      <c r="H12" s="65">
        <f>H9*H10/H11</f>
        <v/>
      </c>
      <c r="I12" s="65">
        <f>I9*I10/I11</f>
        <v/>
      </c>
      <c r="J12" s="65">
        <f>J9*J10/J11</f>
        <v/>
      </c>
      <c r="K12" s="65">
        <f>K9*K10/K11</f>
        <v/>
      </c>
      <c r="L12" s="65">
        <f>L9*L10/L11</f>
        <v/>
      </c>
      <c r="M12" s="65">
        <f>M9*M10/M11</f>
        <v/>
      </c>
      <c r="N12" s="165" t="n"/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mergeCells count="25">
    <mergeCell ref="E6:F7"/>
    <mergeCell ref="G2:H2"/>
    <mergeCell ref="G6:H7"/>
    <mergeCell ref="I2:J2"/>
    <mergeCell ref="C5:D5"/>
    <mergeCell ref="G4:M4"/>
    <mergeCell ref="E5:F5"/>
    <mergeCell ref="K6:M7"/>
    <mergeCell ref="A4:F4"/>
    <mergeCell ref="G3:H3"/>
    <mergeCell ref="I3:J3"/>
    <mergeCell ref="A1:M1"/>
    <mergeCell ref="C2:D2"/>
    <mergeCell ref="C6:D7"/>
    <mergeCell ref="I6:J7"/>
    <mergeCell ref="E2:F2"/>
    <mergeCell ref="A5:B5"/>
    <mergeCell ref="G5:H5"/>
    <mergeCell ref="I5:J5"/>
    <mergeCell ref="K3:M3"/>
    <mergeCell ref="K5:M5"/>
    <mergeCell ref="A6:B7"/>
    <mergeCell ref="K2:N2"/>
    <mergeCell ref="C3:D3"/>
    <mergeCell ref="E3:F3"/>
  </mergeCells>
  <pageMargins left="0.7" right="0.7" top="0.75" bottom="0.75" header="0.511805555555555" footer="0.511805555555555"/>
  <pageSetup orientation="portrait" firstPageNumber="0" horizontalDpi="300" verticalDpi="300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0"/>
  <sheetViews>
    <sheetView zoomScale="82" zoomScaleNormal="82" workbookViewId="0">
      <selection activeCell="J9" sqref="J9"/>
    </sheetView>
  </sheetViews>
  <sheetFormatPr baseColWidth="10" defaultColWidth="9.140625" defaultRowHeight="15"/>
  <cols>
    <col width="27.7109375" customWidth="1" style="24" min="1" max="1"/>
    <col width="11.5703125" customWidth="1" style="24" min="2" max="2"/>
    <col width="13.5703125" customWidth="1" style="24" min="3" max="3"/>
    <col width="13" customWidth="1" style="24" min="4" max="4"/>
    <col width="12.140625" customWidth="1" style="24" min="5" max="5"/>
    <col width="13.140625" customWidth="1" style="24" min="6" max="6"/>
    <col width="12.5703125" customWidth="1" style="24" min="7" max="8"/>
    <col width="13.42578125" customWidth="1" style="24" min="9" max="9"/>
    <col width="11.85546875" customWidth="1" style="24" min="10" max="10"/>
    <col width="12.5703125" customWidth="1" style="24" min="11" max="11"/>
    <col width="11" customWidth="1" style="24" min="12" max="12"/>
    <col width="12.140625" customWidth="1" style="24" min="13" max="13"/>
    <col hidden="1" width="11.5703125" customWidth="1" style="24" min="14" max="14"/>
    <col width="11.140625" customWidth="1" style="24" min="15" max="1025"/>
    <col width="9.140625" customWidth="1" style="23" min="1026" max="16384"/>
  </cols>
  <sheetData>
    <row r="1" ht="27.75" customHeight="1" s="89">
      <c r="A1" s="192" t="inlineStr">
        <is>
          <t>FICHA TÉCNICA</t>
        </is>
      </c>
      <c r="B1" s="168" t="n"/>
      <c r="C1" s="168" t="n"/>
      <c r="D1" s="168" t="n"/>
      <c r="E1" s="168" t="n"/>
      <c r="F1" s="168" t="n"/>
      <c r="G1" s="168" t="n"/>
      <c r="H1" s="168" t="n"/>
      <c r="I1" s="168" t="n"/>
      <c r="J1" s="168" t="n"/>
      <c r="K1" s="168" t="n"/>
      <c r="L1" s="168" t="n"/>
      <c r="M1" s="169" t="n"/>
      <c r="N1" s="39" t="n"/>
    </row>
    <row r="2" ht="31.5" customHeight="1" s="89">
      <c r="A2" s="138" t="inlineStr">
        <is>
          <t xml:space="preserve">NOMBRE DEL INDICADOR </t>
        </is>
      </c>
      <c r="B2" s="138" t="inlineStr">
        <is>
          <t xml:space="preserve">TIPO INDICADOR </t>
        </is>
      </c>
      <c r="C2" s="138" t="inlineStr">
        <is>
          <t xml:space="preserve">FORMULA DE INDICADOR </t>
        </is>
      </c>
      <c r="D2" s="169" t="n"/>
      <c r="E2" s="138" t="inlineStr">
        <is>
          <t>DEFINICIÓN</t>
        </is>
      </c>
      <c r="F2" s="169" t="n"/>
      <c r="G2" s="138" t="inlineStr">
        <is>
          <t>INTERPRETACIÓN</t>
        </is>
      </c>
      <c r="H2" s="169" t="n"/>
      <c r="I2" s="138" t="inlineStr">
        <is>
          <t>UNIDAD DE MEDIDA</t>
        </is>
      </c>
      <c r="J2" s="169" t="n"/>
      <c r="K2" s="138" t="inlineStr">
        <is>
          <t>META</t>
        </is>
      </c>
      <c r="L2" s="168" t="n"/>
      <c r="M2" s="168" t="n"/>
      <c r="N2" s="169" t="n"/>
    </row>
    <row r="3" ht="173.25" customHeight="1" s="89">
      <c r="A3" s="139" t="inlineStr">
        <is>
          <t>Tasa de accidentalidad</t>
        </is>
      </c>
      <c r="B3" s="151" t="inlineStr">
        <is>
          <t xml:space="preserve">Resultado </t>
        </is>
      </c>
      <c r="C3" s="139" t="inlineStr">
        <is>
          <t>T.A = N° AT / N° PROMEDIO DE TRABAJADORES</t>
        </is>
      </c>
      <c r="D3" s="169" t="n"/>
      <c r="E3" s="139" t="inlineStr">
        <is>
          <t>Relación del número de casos de accidentes de trabajo, ocurridos durante el período con el número promedio de trabajadores en el mismo período</t>
        </is>
      </c>
      <c r="F3" s="169" t="n"/>
      <c r="G3" s="139" t="inlineStr">
        <is>
          <t>Por cada 100 trabajadores expuestos se presentan 3 accidentes en el período.</t>
        </is>
      </c>
      <c r="H3" s="169" t="n"/>
      <c r="I3" s="151" t="inlineStr">
        <is>
          <t xml:space="preserve">Porcentaje </t>
        </is>
      </c>
      <c r="J3" s="169" t="n"/>
      <c r="K3" s="141" t="n">
        <v>0</v>
      </c>
      <c r="L3" s="168" t="n"/>
      <c r="M3" s="169" t="n"/>
      <c r="N3" s="39" t="n"/>
    </row>
    <row r="4" ht="22.5" customHeight="1" s="89">
      <c r="A4" s="142" t="inlineStr">
        <is>
          <t xml:space="preserve">TIPO DE INDICADOR </t>
        </is>
      </c>
      <c r="B4" s="168" t="n"/>
      <c r="C4" s="168" t="n"/>
      <c r="D4" s="168" t="n"/>
      <c r="E4" s="168" t="n"/>
      <c r="F4" s="169" t="n"/>
      <c r="G4" s="142" t="inlineStr">
        <is>
          <t>PERIORICIDAD</t>
        </is>
      </c>
      <c r="H4" s="168" t="n"/>
      <c r="I4" s="168" t="n"/>
      <c r="J4" s="168" t="n"/>
      <c r="K4" s="168" t="n"/>
      <c r="L4" s="168" t="n"/>
      <c r="M4" s="169" t="n"/>
      <c r="N4" s="39" t="n"/>
    </row>
    <row r="5" ht="12.75" customFormat="1" customHeight="1" s="28">
      <c r="A5" s="145" t="inlineStr">
        <is>
          <t>ESTRUCTURA</t>
        </is>
      </c>
      <c r="B5" s="169" t="n"/>
      <c r="C5" s="145" t="inlineStr">
        <is>
          <t>PROCESO</t>
        </is>
      </c>
      <c r="D5" s="169" t="n"/>
      <c r="E5" s="145" t="inlineStr">
        <is>
          <t>RESULTADO</t>
        </is>
      </c>
      <c r="F5" s="169" t="n"/>
      <c r="G5" s="145" t="inlineStr">
        <is>
          <t>MENSUAL</t>
        </is>
      </c>
      <c r="H5" s="169" t="n"/>
      <c r="I5" s="145" t="inlineStr">
        <is>
          <t>SEMESTRAL</t>
        </is>
      </c>
      <c r="J5" s="169" t="n"/>
      <c r="K5" s="145" t="inlineStr">
        <is>
          <t>ANUAL</t>
        </is>
      </c>
      <c r="L5" s="168" t="n"/>
      <c r="M5" s="169" t="n"/>
      <c r="N5" s="40" t="n"/>
    </row>
    <row r="6">
      <c r="A6" s="138" t="n"/>
      <c r="B6" s="176" t="n"/>
      <c r="C6" s="145" t="n"/>
      <c r="D6" s="176" t="n"/>
      <c r="E6" s="154" t="inlineStr">
        <is>
          <t>X</t>
        </is>
      </c>
      <c r="F6" s="176" t="n"/>
      <c r="G6" s="154" t="inlineStr">
        <is>
          <t>X</t>
        </is>
      </c>
      <c r="H6" s="176" t="n"/>
      <c r="I6" s="147" t="n"/>
      <c r="J6" s="176" t="n"/>
      <c r="K6" s="147" t="n"/>
      <c r="L6" s="177" t="n"/>
      <c r="M6" s="176" t="n"/>
      <c r="N6" s="39" t="n"/>
    </row>
    <row r="7">
      <c r="A7" s="178" t="n"/>
      <c r="B7" s="179" t="n"/>
      <c r="C7" s="178" t="n"/>
      <c r="D7" s="179" t="n"/>
      <c r="E7" s="178" t="n"/>
      <c r="F7" s="179" t="n"/>
      <c r="G7" s="178" t="n"/>
      <c r="H7" s="179" t="n"/>
      <c r="I7" s="178" t="n"/>
      <c r="J7" s="179" t="n"/>
      <c r="K7" s="178" t="n"/>
      <c r="L7" s="180" t="n"/>
      <c r="M7" s="179" t="n"/>
      <c r="N7" s="39" t="n"/>
    </row>
    <row r="8">
      <c r="A8" s="148" t="inlineStr">
        <is>
          <t>VARIABLE</t>
        </is>
      </c>
      <c r="B8" s="30" t="inlineStr">
        <is>
          <t xml:space="preserve">ENERO </t>
        </is>
      </c>
      <c r="C8" s="30" t="inlineStr">
        <is>
          <t>FEBRERO</t>
        </is>
      </c>
      <c r="D8" s="30" t="inlineStr">
        <is>
          <t>MARZO</t>
        </is>
      </c>
      <c r="E8" s="30" t="inlineStr">
        <is>
          <t>ABRIL</t>
        </is>
      </c>
      <c r="F8" s="30" t="inlineStr">
        <is>
          <t>MAYO</t>
        </is>
      </c>
      <c r="G8" s="30" t="inlineStr">
        <is>
          <t>JUNIO</t>
        </is>
      </c>
      <c r="H8" s="30" t="inlineStr">
        <is>
          <t>JULIO</t>
        </is>
      </c>
      <c r="I8" s="30" t="inlineStr">
        <is>
          <t>AGOSTO</t>
        </is>
      </c>
      <c r="J8" s="30" t="inlineStr">
        <is>
          <t>SEPTIEMBRE</t>
        </is>
      </c>
      <c r="K8" s="30" t="inlineStr">
        <is>
          <t>OCTUBRE</t>
        </is>
      </c>
      <c r="L8" s="30" t="inlineStr">
        <is>
          <t>NOVIEMBRE</t>
        </is>
      </c>
      <c r="M8" s="30" t="inlineStr">
        <is>
          <t>DICIEMBRE</t>
        </is>
      </c>
      <c r="N8" s="39" t="n"/>
    </row>
    <row r="9" ht="12.75" customFormat="1" customHeight="1" s="41">
      <c r="A9" s="91" t="inlineStr">
        <is>
          <t xml:space="preserve">Número de AT </t>
        </is>
      </c>
      <c r="B9" s="44">
        <f>[2]F.A.!B9</f>
        <v/>
      </c>
      <c r="C9" s="44">
        <f>[2]F.A.!C9</f>
        <v/>
      </c>
      <c r="D9" s="44">
        <f>[2]F.A.!D9</f>
        <v/>
      </c>
      <c r="E9" s="44">
        <f>[2]F.A.!E9</f>
        <v/>
      </c>
      <c r="F9" s="44">
        <f>[2]F.A.!F9</f>
        <v/>
      </c>
      <c r="G9" s="44">
        <f>[2]F.A.!G9</f>
        <v/>
      </c>
      <c r="H9" s="44">
        <f>[2]F.A.!H9</f>
        <v/>
      </c>
      <c r="I9" s="44">
        <f>[2]F.A.!I9</f>
        <v/>
      </c>
      <c r="J9" s="44">
        <f>[2]F.A.!J9</f>
        <v/>
      </c>
      <c r="K9" s="44">
        <f>[2]F.A.!K9</f>
        <v/>
      </c>
      <c r="L9" s="44">
        <f>[2]F.A.!L9</f>
        <v/>
      </c>
      <c r="M9" s="44">
        <f>[2]F.A.!M9</f>
        <v/>
      </c>
      <c r="N9" s="44" t="n"/>
    </row>
    <row r="10">
      <c r="A10" s="91" t="inlineStr">
        <is>
          <t xml:space="preserve">Promedio de trabajadores </t>
        </is>
      </c>
      <c r="B10" s="149">
        <f>AVERAGE([2]F.A.!B10)</f>
        <v/>
      </c>
      <c r="C10" s="149">
        <f>AVERAGE([2]F.A.!C10)</f>
        <v/>
      </c>
      <c r="D10" s="149">
        <f>AVERAGE([2]F.A.!D10)</f>
        <v/>
      </c>
      <c r="E10" s="149">
        <f>AVERAGE([2]F.A.!E10)</f>
        <v/>
      </c>
      <c r="F10" s="149">
        <f>AVERAGE([2]F.A.!F10)</f>
        <v/>
      </c>
      <c r="G10" s="149">
        <f>AVERAGE([2]F.A.!G10)</f>
        <v/>
      </c>
      <c r="H10" s="149">
        <f>AVERAGE([2]F.A.!H10)</f>
        <v/>
      </c>
      <c r="I10" s="149">
        <f>AVERAGE([2]F.A.!I10)</f>
        <v/>
      </c>
      <c r="J10" s="149">
        <f>AVERAGE([2]F.A.!J10)</f>
        <v/>
      </c>
      <c r="K10" s="149">
        <f>AVERAGE([2]F.A.!K10)</f>
        <v/>
      </c>
      <c r="L10" s="149" t="n">
        <v>12</v>
      </c>
      <c r="M10" s="149" t="n">
        <v>14</v>
      </c>
      <c r="N10" s="151" t="n"/>
    </row>
    <row r="11" ht="18.75" customHeight="1" s="89">
      <c r="A11" s="98" t="inlineStr">
        <is>
          <t>Tasa de accidentalidad</t>
        </is>
      </c>
      <c r="B11" s="65">
        <f>B9/B10</f>
        <v/>
      </c>
      <c r="C11" s="65">
        <f>C9/C10</f>
        <v/>
      </c>
      <c r="D11" s="65">
        <f>D9/D10</f>
        <v/>
      </c>
      <c r="E11" s="65">
        <f>E9/E10</f>
        <v/>
      </c>
      <c r="F11" s="65">
        <f>F9/F10</f>
        <v/>
      </c>
      <c r="G11" s="65">
        <f>G9/G10</f>
        <v/>
      </c>
      <c r="H11" s="65">
        <f>H9/H10</f>
        <v/>
      </c>
      <c r="I11" s="65">
        <f>I9/I10</f>
        <v/>
      </c>
      <c r="J11" s="65">
        <f>J9/J10</f>
        <v/>
      </c>
      <c r="K11" s="65">
        <f>K9/K10</f>
        <v/>
      </c>
      <c r="L11" s="65">
        <f>L9/L10</f>
        <v/>
      </c>
      <c r="M11" s="65">
        <f>M9/M10</f>
        <v/>
      </c>
      <c r="N11" s="151">
        <f>(N9*#REF!/#REF!)</f>
        <v/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mergeCells count="25">
    <mergeCell ref="E6:F7"/>
    <mergeCell ref="G2:H2"/>
    <mergeCell ref="G6:H7"/>
    <mergeCell ref="I2:J2"/>
    <mergeCell ref="C5:D5"/>
    <mergeCell ref="G4:M4"/>
    <mergeCell ref="E5:F5"/>
    <mergeCell ref="K6:M7"/>
    <mergeCell ref="A4:F4"/>
    <mergeCell ref="G3:H3"/>
    <mergeCell ref="I3:J3"/>
    <mergeCell ref="A1:M1"/>
    <mergeCell ref="C2:D2"/>
    <mergeCell ref="C6:D7"/>
    <mergeCell ref="I6:J7"/>
    <mergeCell ref="E2:F2"/>
    <mergeCell ref="A5:B5"/>
    <mergeCell ref="G5:H5"/>
    <mergeCell ref="I5:J5"/>
    <mergeCell ref="K3:M3"/>
    <mergeCell ref="K5:M5"/>
    <mergeCell ref="A6:B7"/>
    <mergeCell ref="K2:N2"/>
    <mergeCell ref="C3:D3"/>
    <mergeCell ref="E3:F3"/>
  </mergeCells>
  <pageMargins left="0.7" right="0.7" top="0.75" bottom="0.75" header="0.511805555555555" footer="0.511805555555555"/>
  <pageSetup orientation="portrait" firstPageNumber="0" horizontalDpi="300" verticalDpi="300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60"/>
  <sheetViews>
    <sheetView topLeftCell="A4" zoomScale="82" zoomScaleNormal="82" workbookViewId="0">
      <selection activeCell="M29" sqref="M29"/>
    </sheetView>
  </sheetViews>
  <sheetFormatPr baseColWidth="10" defaultColWidth="9.140625" defaultRowHeight="15"/>
  <cols>
    <col width="27.7109375" customWidth="1" style="24" min="1" max="1"/>
    <col width="9.5703125" customWidth="1" style="24" min="2" max="2"/>
    <col width="11" customWidth="1" style="24" min="3" max="3"/>
    <col width="10.85546875" customWidth="1" style="24" min="4" max="4"/>
    <col width="11.140625" customWidth="1" style="24" min="5" max="5"/>
    <col width="12.140625" customWidth="1" style="24" min="6" max="6"/>
    <col width="13.140625" customWidth="1" style="24" min="7" max="7"/>
    <col width="12.5703125" customWidth="1" style="24" min="8" max="9"/>
    <col width="13.42578125" customWidth="1" style="24" min="10" max="10"/>
    <col width="11.85546875" customWidth="1" style="24" min="11" max="11"/>
    <col width="12.5703125" customWidth="1" style="24" min="12" max="12"/>
    <col width="11" customWidth="1" style="24" min="13" max="13"/>
    <col width="13.85546875" customWidth="1" style="24" min="14" max="14"/>
    <col hidden="1" width="11.5703125" customWidth="1" style="24" min="15" max="15"/>
    <col width="11.140625" customWidth="1" style="24" min="16" max="1025"/>
    <col width="9.140625" customWidth="1" style="23" min="1026" max="16384"/>
  </cols>
  <sheetData>
    <row r="1" ht="37.5" customHeight="1" s="89">
      <c r="A1" s="192" t="inlineStr">
        <is>
          <t>FICHA TÉCNICA</t>
        </is>
      </c>
      <c r="B1" s="168" t="n"/>
      <c r="C1" s="168" t="n"/>
      <c r="D1" s="168" t="n"/>
      <c r="E1" s="168" t="n"/>
      <c r="F1" s="168" t="n"/>
      <c r="G1" s="168" t="n"/>
      <c r="H1" s="168" t="n"/>
      <c r="I1" s="168" t="n"/>
      <c r="J1" s="168" t="n"/>
      <c r="K1" s="168" t="n"/>
      <c r="L1" s="168" t="n"/>
      <c r="M1" s="168" t="n"/>
      <c r="N1" s="169" t="n"/>
      <c r="O1" s="39" t="n"/>
    </row>
    <row r="2" ht="31.5" customHeight="1" s="89">
      <c r="A2" s="138" t="inlineStr">
        <is>
          <t xml:space="preserve">NOMBRE DEL INDICADOR </t>
        </is>
      </c>
      <c r="B2" s="138" t="inlineStr">
        <is>
          <t xml:space="preserve">TIPO INDICADOR </t>
        </is>
      </c>
      <c r="C2" s="169" t="n"/>
      <c r="D2" s="138" t="inlineStr">
        <is>
          <t xml:space="preserve">FORMULA DE INDICADOR </t>
        </is>
      </c>
      <c r="E2" s="169" t="n"/>
      <c r="F2" s="138" t="inlineStr">
        <is>
          <t>DEFINICIÓN</t>
        </is>
      </c>
      <c r="G2" s="169" t="n"/>
      <c r="H2" s="138" t="inlineStr">
        <is>
          <t>INTERPRETACIÓN</t>
        </is>
      </c>
      <c r="I2" s="169" t="n"/>
      <c r="J2" s="138" t="inlineStr">
        <is>
          <t>UNIDAD DE MEDIDA</t>
        </is>
      </c>
      <c r="K2" s="169" t="n"/>
      <c r="L2" s="138" t="inlineStr">
        <is>
          <t>META</t>
        </is>
      </c>
      <c r="M2" s="168" t="n"/>
      <c r="N2" s="168" t="n"/>
      <c r="O2" s="169" t="n"/>
    </row>
    <row r="3" ht="173.25" customHeight="1" s="89">
      <c r="A3" s="77" t="inlineStr">
        <is>
          <t>Ausentismos por causa médica</t>
        </is>
      </c>
      <c r="B3" s="154" t="inlineStr">
        <is>
          <t xml:space="preserve">Resultado </t>
        </is>
      </c>
      <c r="C3" s="169" t="n"/>
      <c r="D3" s="158" t="inlineStr">
        <is>
          <t>(Numero de días de ausencia por incapacidad laboral o común en el mes / Numero de días de trabajo programados en el mes) *100</t>
        </is>
      </c>
      <c r="E3" s="172" t="n"/>
      <c r="F3" s="158" t="inlineStr">
        <is>
          <t>Ausentismo es la no asistencia al trabajo, con incapacidad médica.</t>
        </is>
      </c>
      <c r="G3" s="172" t="n"/>
      <c r="H3" s="158" t="inlineStr">
        <is>
          <t>En el mes se perdió 194 de días programados de trabajo por incapacidad médica</t>
        </is>
      </c>
      <c r="I3" s="172" t="n"/>
      <c r="J3" s="154" t="inlineStr">
        <is>
          <t>Porcentaje</t>
        </is>
      </c>
      <c r="K3" s="169" t="n"/>
      <c r="L3" s="157" t="n">
        <v>0.9</v>
      </c>
      <c r="M3" s="183" t="n"/>
      <c r="N3" s="184" t="n"/>
      <c r="O3" s="39" t="n"/>
    </row>
    <row r="4" ht="22.5" customHeight="1" s="89">
      <c r="A4" s="142" t="inlineStr">
        <is>
          <t xml:space="preserve">TIPO DE INDICADOR </t>
        </is>
      </c>
      <c r="B4" s="168" t="n"/>
      <c r="C4" s="168" t="n"/>
      <c r="D4" s="168" t="n"/>
      <c r="E4" s="168" t="n"/>
      <c r="F4" s="168" t="n"/>
      <c r="G4" s="169" t="n"/>
      <c r="H4" s="142" t="inlineStr">
        <is>
          <t>PERIORICIDAD</t>
        </is>
      </c>
      <c r="I4" s="168" t="n"/>
      <c r="J4" s="168" t="n"/>
      <c r="K4" s="168" t="n"/>
      <c r="L4" s="168" t="n"/>
      <c r="M4" s="168" t="n"/>
      <c r="N4" s="169" t="n"/>
      <c r="O4" s="39" t="n"/>
    </row>
    <row r="5" ht="12.75" customFormat="1" customHeight="1" s="28">
      <c r="A5" s="145" t="inlineStr">
        <is>
          <t>ESTRUCTURA</t>
        </is>
      </c>
      <c r="B5" s="168" t="n"/>
      <c r="C5" s="169" t="n"/>
      <c r="D5" s="145" t="inlineStr">
        <is>
          <t>PROCESO</t>
        </is>
      </c>
      <c r="E5" s="169" t="n"/>
      <c r="F5" s="145" t="inlineStr">
        <is>
          <t>RESULTADO</t>
        </is>
      </c>
      <c r="G5" s="169" t="n"/>
      <c r="H5" s="145" t="inlineStr">
        <is>
          <t>MENSUAL</t>
        </is>
      </c>
      <c r="I5" s="169" t="n"/>
      <c r="J5" s="145" t="inlineStr">
        <is>
          <t>SEMESTRAL</t>
        </is>
      </c>
      <c r="K5" s="169" t="n"/>
      <c r="L5" s="145" t="inlineStr">
        <is>
          <t>ANUAL</t>
        </is>
      </c>
      <c r="M5" s="168" t="n"/>
      <c r="N5" s="169" t="n"/>
      <c r="O5" s="40" t="n"/>
    </row>
    <row r="6" ht="12.75" customHeight="1" s="89">
      <c r="A6" s="138" t="n"/>
      <c r="B6" s="177" t="n"/>
      <c r="C6" s="176" t="n"/>
      <c r="D6" s="145" t="n"/>
      <c r="E6" s="176" t="n"/>
      <c r="F6" s="154" t="inlineStr">
        <is>
          <t>X</t>
        </is>
      </c>
      <c r="G6" s="176" t="n"/>
      <c r="H6" s="154" t="inlineStr">
        <is>
          <t>X</t>
        </is>
      </c>
      <c r="I6" s="176" t="n"/>
      <c r="J6" s="147" t="n"/>
      <c r="K6" s="176" t="n"/>
      <c r="L6" s="160" t="n"/>
      <c r="M6" s="185" t="n"/>
      <c r="N6" s="186" t="n"/>
      <c r="O6" s="39" t="n"/>
    </row>
    <row r="7">
      <c r="A7" s="178" t="n"/>
      <c r="B7" s="180" t="n"/>
      <c r="C7" s="179" t="n"/>
      <c r="D7" s="178" t="n"/>
      <c r="E7" s="179" t="n"/>
      <c r="F7" s="178" t="n"/>
      <c r="G7" s="179" t="n"/>
      <c r="H7" s="178" t="n"/>
      <c r="I7" s="179" t="n"/>
      <c r="J7" s="178" t="n"/>
      <c r="K7" s="179" t="n"/>
      <c r="L7" s="187" t="n"/>
      <c r="M7" s="188" t="n"/>
      <c r="N7" s="189" t="n"/>
      <c r="O7" s="39" t="n"/>
    </row>
    <row r="8" ht="12.75" customFormat="1" customHeight="1" s="41">
      <c r="A8" s="148" t="inlineStr">
        <is>
          <t>VARIABLE</t>
        </is>
      </c>
      <c r="B8" s="30" t="inlineStr">
        <is>
          <t xml:space="preserve">ENERO </t>
        </is>
      </c>
      <c r="C8" s="30" t="inlineStr">
        <is>
          <t>FEBRERO</t>
        </is>
      </c>
      <c r="D8" s="30" t="inlineStr">
        <is>
          <t>MARZO</t>
        </is>
      </c>
      <c r="E8" s="30" t="inlineStr">
        <is>
          <t>ABRIL</t>
        </is>
      </c>
      <c r="F8" s="30" t="inlineStr">
        <is>
          <t>MAYO</t>
        </is>
      </c>
      <c r="G8" s="30" t="inlineStr">
        <is>
          <t>JUNIO</t>
        </is>
      </c>
      <c r="H8" s="30" t="inlineStr">
        <is>
          <t>JULIO</t>
        </is>
      </c>
      <c r="I8" s="30" t="inlineStr">
        <is>
          <t>AGOSTO</t>
        </is>
      </c>
      <c r="J8" s="30" t="inlineStr">
        <is>
          <t>SEPTIEMBRE</t>
        </is>
      </c>
      <c r="K8" s="30" t="inlineStr">
        <is>
          <t>OCTUBRE</t>
        </is>
      </c>
      <c r="L8" s="30" t="inlineStr">
        <is>
          <t>NOVIEMBRE</t>
        </is>
      </c>
      <c r="M8" s="30" t="inlineStr">
        <is>
          <t>DICIEMBRE</t>
        </is>
      </c>
      <c r="N8" s="54" t="n"/>
      <c r="O8" s="55" t="n"/>
    </row>
    <row r="9" ht="39" customHeight="1" s="89">
      <c r="A9" s="93" t="inlineStr">
        <is>
          <t>Numero de dias por ausencia incapacidad laboral o comun en el mes</t>
        </is>
      </c>
      <c r="B9" s="149" t="n">
        <v>0</v>
      </c>
      <c r="C9" s="149" t="n">
        <v>0</v>
      </c>
      <c r="D9" s="149" t="n">
        <v>0</v>
      </c>
      <c r="E9" s="149" t="n">
        <v>0</v>
      </c>
      <c r="F9" s="149" t="n">
        <v>0</v>
      </c>
      <c r="G9" s="149" t="n">
        <v>0</v>
      </c>
      <c r="H9" s="149" t="n">
        <v>0</v>
      </c>
      <c r="I9" s="149" t="n">
        <v>6</v>
      </c>
      <c r="J9" s="149" t="n">
        <v>0</v>
      </c>
      <c r="K9" s="149" t="n">
        <v>0</v>
      </c>
      <c r="L9" s="149" t="n">
        <v>0</v>
      </c>
      <c r="M9" s="149" t="n">
        <v>0</v>
      </c>
      <c r="N9" s="56" t="n"/>
      <c r="O9" s="57" t="n"/>
    </row>
    <row r="10" ht="28.5" customHeight="1" s="89">
      <c r="A10" s="94" t="inlineStr">
        <is>
          <t>Numero de dias de trabajo programados en el mes</t>
        </is>
      </c>
      <c r="B10" s="149" t="n">
        <v>16</v>
      </c>
      <c r="C10" s="149" t="n">
        <v>24</v>
      </c>
      <c r="D10" s="149" t="n">
        <v>26</v>
      </c>
      <c r="E10" s="149" t="n">
        <v>24</v>
      </c>
      <c r="F10" s="149" t="n">
        <v>25</v>
      </c>
      <c r="G10" s="149" t="n">
        <v>24</v>
      </c>
      <c r="H10" s="149" t="n">
        <v>24</v>
      </c>
      <c r="I10" s="149" t="n">
        <v>26</v>
      </c>
      <c r="J10" s="149" t="n">
        <v>26</v>
      </c>
      <c r="K10" s="149" t="n">
        <v>25</v>
      </c>
      <c r="L10" s="149" t="n">
        <v>26</v>
      </c>
      <c r="M10" s="149" t="n">
        <v>25</v>
      </c>
      <c r="N10" s="56" t="n"/>
      <c r="O10" s="57" t="n"/>
    </row>
    <row r="11" ht="30.75" customHeight="1" s="89">
      <c r="A11" s="92" t="inlineStr">
        <is>
          <t>Ausentismos por causa médica o comun</t>
        </is>
      </c>
      <c r="B11" s="65">
        <f>(B9/B10)*100%</f>
        <v/>
      </c>
      <c r="C11" s="65">
        <f>(C9/C10)*100%</f>
        <v/>
      </c>
      <c r="D11" s="65">
        <f>D9/D10</f>
        <v/>
      </c>
      <c r="E11" s="65">
        <f>E9/E10</f>
        <v/>
      </c>
      <c r="F11" s="65">
        <f>F9/F10</f>
        <v/>
      </c>
      <c r="G11" s="65">
        <f>G9/G10</f>
        <v/>
      </c>
      <c r="H11" s="65">
        <f>H9/H10</f>
        <v/>
      </c>
      <c r="I11" s="65">
        <f>I9/I10</f>
        <v/>
      </c>
      <c r="J11" s="65">
        <f>J9/J10</f>
        <v/>
      </c>
      <c r="K11" s="65">
        <f>K9/K10</f>
        <v/>
      </c>
      <c r="L11" s="65">
        <f>L9/L10</f>
        <v/>
      </c>
      <c r="M11" s="65">
        <f>M9/M10</f>
        <v/>
      </c>
      <c r="N11" s="56" t="n"/>
      <c r="O11" s="57">
        <f>(O8*#REF!/#REF!)</f>
        <v/>
      </c>
    </row>
    <row r="12">
      <c r="A12" s="78" t="n"/>
      <c r="B12" s="162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4" t="n"/>
      <c r="M12" s="54" t="n"/>
    </row>
    <row r="13">
      <c r="A13" s="79" t="n"/>
      <c r="B13" s="163" t="n"/>
      <c r="D13" s="56" t="n"/>
      <c r="E13" s="56" t="n"/>
      <c r="F13" s="56" t="n"/>
      <c r="G13" s="56" t="n"/>
      <c r="H13" s="56" t="n"/>
      <c r="I13" s="56" t="n"/>
      <c r="J13" s="56" t="n"/>
      <c r="K13" s="56" t="n"/>
      <c r="L13" s="56" t="n"/>
      <c r="M13" s="56" t="n"/>
    </row>
    <row r="14">
      <c r="A14" s="79" t="n"/>
      <c r="B14" s="162" t="n"/>
      <c r="D14" s="56" t="n"/>
      <c r="E14" s="56" t="n"/>
      <c r="F14" s="56" t="n"/>
      <c r="G14" s="56" t="n"/>
      <c r="H14" s="56" t="n"/>
      <c r="I14" s="56" t="n"/>
      <c r="J14" s="56" t="n"/>
      <c r="K14" s="56" t="n"/>
      <c r="L14" s="56" t="n"/>
      <c r="M14" s="56" t="n"/>
    </row>
    <row r="15">
      <c r="A15" s="80" t="n"/>
      <c r="B15" s="190" t="n"/>
      <c r="D15" s="56" t="n"/>
      <c r="E15" s="56" t="n"/>
      <c r="F15" s="56" t="n"/>
      <c r="G15" s="56" t="n"/>
      <c r="H15" s="56" t="n"/>
      <c r="I15" s="56" t="n"/>
      <c r="J15" s="56" t="n"/>
      <c r="K15" s="56" t="n"/>
      <c r="L15" s="56" t="n"/>
      <c r="M15" s="56" t="n"/>
    </row>
    <row r="16"/>
    <row r="17"/>
    <row r="18"/>
    <row r="19"/>
    <row r="20"/>
    <row r="21"/>
    <row r="22"/>
    <row r="23"/>
    <row r="24"/>
    <row r="25"/>
    <row r="26">
      <c r="N26" s="81" t="n"/>
    </row>
    <row r="27">
      <c r="N27" s="90" t="n"/>
    </row>
    <row r="28">
      <c r="N28" s="90" t="n"/>
    </row>
    <row r="29">
      <c r="N29" s="82" t="n"/>
    </row>
    <row r="30">
      <c r="A30" s="83" t="n"/>
      <c r="B30" s="84" t="n"/>
      <c r="C30" s="84" t="n"/>
      <c r="D30" s="84" t="n"/>
      <c r="E30" s="84" t="n"/>
      <c r="F30" s="84" t="n"/>
      <c r="G30" s="84" t="n"/>
      <c r="H30" s="84" t="n"/>
      <c r="I30" s="84" t="n"/>
      <c r="J30" s="84" t="n"/>
      <c r="K30" s="84" t="n"/>
      <c r="L30" s="84" t="n"/>
      <c r="M30" s="84" t="n"/>
    </row>
    <row r="31">
      <c r="A31" s="85" t="n"/>
      <c r="B31" s="86" t="n"/>
      <c r="C31" s="86" t="n"/>
      <c r="D31" s="86" t="n"/>
      <c r="E31" s="86" t="n"/>
      <c r="F31" s="86" t="n"/>
      <c r="G31" s="86" t="n"/>
      <c r="H31" s="86" t="n"/>
      <c r="I31" s="86" t="n"/>
      <c r="J31" s="86" t="n"/>
      <c r="K31" s="86" t="n"/>
      <c r="L31" s="86" t="n"/>
      <c r="M31" s="86" t="n"/>
    </row>
    <row r="32">
      <c r="A32" s="87" t="n"/>
      <c r="B32" s="88" t="n"/>
      <c r="C32" s="88" t="n"/>
      <c r="D32" s="88" t="n"/>
      <c r="E32" s="88" t="n"/>
      <c r="F32" s="88" t="n"/>
      <c r="G32" s="88" t="n"/>
      <c r="H32" s="88" t="n"/>
      <c r="I32" s="88" t="n"/>
      <c r="J32" s="88" t="n"/>
      <c r="K32" s="88" t="n"/>
      <c r="L32" s="88" t="n"/>
      <c r="M32" s="88" t="n"/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mergeCells count="31">
    <mergeCell ref="J5:K5"/>
    <mergeCell ref="B3:C3"/>
    <mergeCell ref="L5:N5"/>
    <mergeCell ref="A4:G4"/>
    <mergeCell ref="A1:N1"/>
    <mergeCell ref="F3:G3"/>
    <mergeCell ref="B12:C12"/>
    <mergeCell ref="B2:C2"/>
    <mergeCell ref="D2:E2"/>
    <mergeCell ref="A5:C5"/>
    <mergeCell ref="F5:G5"/>
    <mergeCell ref="L2:O2"/>
    <mergeCell ref="B14:C14"/>
    <mergeCell ref="B13:C13"/>
    <mergeCell ref="A6:C7"/>
    <mergeCell ref="F2:G2"/>
    <mergeCell ref="H4:N4"/>
    <mergeCell ref="H2:I2"/>
    <mergeCell ref="D6:E7"/>
    <mergeCell ref="F6:G7"/>
    <mergeCell ref="D3:E3"/>
    <mergeCell ref="H3:I3"/>
    <mergeCell ref="J3:K3"/>
    <mergeCell ref="B15:C15"/>
    <mergeCell ref="H6:I7"/>
    <mergeCell ref="J2:K2"/>
    <mergeCell ref="J6:K7"/>
    <mergeCell ref="D5:E5"/>
    <mergeCell ref="H5:I5"/>
    <mergeCell ref="L3:N3"/>
    <mergeCell ref="L6:N7"/>
  </mergeCells>
  <pageMargins left="0.7" right="0.7" top="0.75" bottom="0.75" header="0.511805555555555" footer="0.511805555555555"/>
  <pageSetup orientation="portrait" firstPageNumber="0" horizontalDpi="300" verticalDpi="300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60"/>
  <sheetViews>
    <sheetView topLeftCell="A4" zoomScale="82" zoomScaleNormal="82" workbookViewId="0">
      <selection activeCell="N28" sqref="N28"/>
    </sheetView>
  </sheetViews>
  <sheetFormatPr baseColWidth="10" defaultColWidth="9.140625" defaultRowHeight="15"/>
  <cols>
    <col width="27.7109375" customWidth="1" style="24" min="1" max="1"/>
    <col width="6.5703125" customWidth="1" style="24" min="2" max="2"/>
    <col width="8.28515625" customWidth="1" style="24" min="3" max="3"/>
    <col width="13.5703125" customWidth="1" style="24" min="4" max="4"/>
    <col width="13" customWidth="1" style="24" min="5" max="5"/>
    <col width="12.140625" customWidth="1" style="24" min="6" max="6"/>
    <col width="13.140625" customWidth="1" style="24" min="7" max="7"/>
    <col width="12.5703125" customWidth="1" style="24" min="8" max="9"/>
    <col width="13.42578125" customWidth="1" style="24" min="10" max="10"/>
    <col width="11.85546875" customWidth="1" style="24" min="11" max="11"/>
    <col width="12.5703125" customWidth="1" style="24" min="12" max="12"/>
    <col width="11" customWidth="1" style="24" min="13" max="13"/>
    <col width="12.140625" customWidth="1" style="24" min="14" max="14"/>
    <col width="0.5703125" customWidth="1" style="24" min="15" max="15"/>
    <col width="11.140625" customWidth="1" style="24" min="16" max="1025"/>
    <col width="9.140625" customWidth="1" style="23" min="1026" max="16384"/>
  </cols>
  <sheetData>
    <row r="1" ht="41.25" customHeight="1" s="89">
      <c r="A1" s="192" t="inlineStr">
        <is>
          <t>FICHA TÉCNICA</t>
        </is>
      </c>
      <c r="B1" s="168" t="n"/>
      <c r="C1" s="168" t="n"/>
      <c r="D1" s="168" t="n"/>
      <c r="E1" s="168" t="n"/>
      <c r="F1" s="168" t="n"/>
      <c r="G1" s="168" t="n"/>
      <c r="H1" s="168" t="n"/>
      <c r="I1" s="168" t="n"/>
      <c r="J1" s="168" t="n"/>
      <c r="K1" s="168" t="n"/>
      <c r="L1" s="168" t="n"/>
      <c r="M1" s="168" t="n"/>
      <c r="N1" s="169" t="n"/>
      <c r="O1" s="39" t="n"/>
    </row>
    <row r="2" ht="31.5" customHeight="1" s="89">
      <c r="A2" s="138" t="inlineStr">
        <is>
          <t xml:space="preserve">NOMBRE DEL INDICADOR </t>
        </is>
      </c>
      <c r="B2" s="138" t="inlineStr">
        <is>
          <t xml:space="preserve">TIPO INDICADOR </t>
        </is>
      </c>
      <c r="C2" s="169" t="n"/>
      <c r="D2" s="138" t="inlineStr">
        <is>
          <t xml:space="preserve">FORMULA DE INDICADOR </t>
        </is>
      </c>
      <c r="E2" s="169" t="n"/>
      <c r="F2" s="138" t="inlineStr">
        <is>
          <t>DEFINICIÓN</t>
        </is>
      </c>
      <c r="G2" s="169" t="n"/>
      <c r="H2" s="138" t="inlineStr">
        <is>
          <t>INTERPRETACIÓN</t>
        </is>
      </c>
      <c r="I2" s="169" t="n"/>
      <c r="J2" s="138" t="inlineStr">
        <is>
          <t>UNIDAD DE MEDIDA</t>
        </is>
      </c>
      <c r="K2" s="169" t="n"/>
      <c r="L2" s="138" t="inlineStr">
        <is>
          <t>META</t>
        </is>
      </c>
      <c r="M2" s="168" t="n"/>
      <c r="N2" s="168" t="n"/>
      <c r="O2" s="169" t="n"/>
    </row>
    <row r="3" ht="173.25" customHeight="1" s="89">
      <c r="A3" s="99" t="inlineStr">
        <is>
          <t>Indice de frecuencia de ausentismo</t>
        </is>
      </c>
      <c r="B3" s="154" t="inlineStr">
        <is>
          <t xml:space="preserve">Resultado </t>
        </is>
      </c>
      <c r="C3" s="169" t="n"/>
      <c r="D3" s="158" t="inlineStr">
        <is>
          <t>IFA=  Numeros de eventos de ausencia por causa de salud en el año / HH Programadas en el año * 240000</t>
        </is>
      </c>
      <c r="E3" s="172" t="n"/>
      <c r="F3" s="158" t="inlineStr">
        <is>
          <t>Incluye enfermedad común, enfermedad profesional, accidente de trabajo y consulta de salud</t>
        </is>
      </c>
      <c r="G3" s="172" t="n"/>
      <c r="H3" s="158" t="inlineStr">
        <is>
          <t>Por 3374 horas trabajadas en el año se presentan 17 evento incapacitantes por enfermedad común</t>
        </is>
      </c>
      <c r="I3" s="172" t="n"/>
      <c r="J3" s="154" t="inlineStr">
        <is>
          <t>Número</t>
        </is>
      </c>
      <c r="K3" s="169" t="n"/>
      <c r="L3" s="164" t="n">
        <v>0</v>
      </c>
      <c r="M3" s="168" t="n"/>
      <c r="N3" s="169" t="n"/>
      <c r="O3" s="39" t="n"/>
    </row>
    <row r="4" ht="22.5" customHeight="1" s="89">
      <c r="A4" s="142" t="inlineStr">
        <is>
          <t xml:space="preserve">TIPO DE INDICADOR </t>
        </is>
      </c>
      <c r="B4" s="168" t="n"/>
      <c r="C4" s="168" t="n"/>
      <c r="D4" s="168" t="n"/>
      <c r="E4" s="168" t="n"/>
      <c r="F4" s="168" t="n"/>
      <c r="G4" s="169" t="n"/>
      <c r="H4" s="142" t="inlineStr">
        <is>
          <t>PERIORICIDAD</t>
        </is>
      </c>
      <c r="I4" s="168" t="n"/>
      <c r="J4" s="168" t="n"/>
      <c r="K4" s="168" t="n"/>
      <c r="L4" s="168" t="n"/>
      <c r="M4" s="168" t="n"/>
      <c r="N4" s="169" t="n"/>
      <c r="O4" s="39" t="n"/>
    </row>
    <row r="5" ht="12.75" customFormat="1" customHeight="1" s="28">
      <c r="A5" s="145" t="inlineStr">
        <is>
          <t>ESTRUCTURA</t>
        </is>
      </c>
      <c r="B5" s="168" t="n"/>
      <c r="C5" s="169" t="n"/>
      <c r="D5" s="145" t="inlineStr">
        <is>
          <t>PROCESO</t>
        </is>
      </c>
      <c r="E5" s="169" t="n"/>
      <c r="F5" s="145" t="inlineStr">
        <is>
          <t>RESULTADO</t>
        </is>
      </c>
      <c r="G5" s="169" t="n"/>
      <c r="H5" s="145" t="inlineStr">
        <is>
          <t>MENSUAL</t>
        </is>
      </c>
      <c r="I5" s="169" t="n"/>
      <c r="J5" s="145" t="inlineStr">
        <is>
          <t>SEMESTRAL</t>
        </is>
      </c>
      <c r="K5" s="169" t="n"/>
      <c r="L5" s="145" t="inlineStr">
        <is>
          <t>ANUAL</t>
        </is>
      </c>
      <c r="M5" s="168" t="n"/>
      <c r="N5" s="169" t="n"/>
      <c r="O5" s="40" t="n"/>
    </row>
    <row r="6" ht="12.75" customHeight="1" s="89">
      <c r="A6" s="138" t="n"/>
      <c r="B6" s="177" t="n"/>
      <c r="C6" s="176" t="n"/>
      <c r="D6" s="145" t="n"/>
      <c r="E6" s="176" t="n"/>
      <c r="F6" s="154" t="inlineStr">
        <is>
          <t>X</t>
        </is>
      </c>
      <c r="G6" s="176" t="n"/>
      <c r="H6" s="154" t="n"/>
      <c r="I6" s="176" t="n"/>
      <c r="J6" s="167" t="n"/>
      <c r="K6" s="176" t="n"/>
      <c r="L6" s="146" t="inlineStr">
        <is>
          <t>X</t>
        </is>
      </c>
      <c r="M6" s="177" t="n"/>
      <c r="N6" s="176" t="n"/>
      <c r="O6" s="39" t="n"/>
    </row>
    <row r="7">
      <c r="A7" s="178" t="n"/>
      <c r="B7" s="180" t="n"/>
      <c r="C7" s="179" t="n"/>
      <c r="D7" s="178" t="n"/>
      <c r="E7" s="179" t="n"/>
      <c r="F7" s="178" t="n"/>
      <c r="G7" s="179" t="n"/>
      <c r="H7" s="178" t="n"/>
      <c r="I7" s="179" t="n"/>
      <c r="J7" s="178" t="n"/>
      <c r="K7" s="179" t="n"/>
      <c r="L7" s="178" t="n"/>
      <c r="M7" s="180" t="n"/>
      <c r="N7" s="179" t="n"/>
      <c r="O7" s="39" t="n"/>
    </row>
    <row r="8">
      <c r="A8" s="32" t="inlineStr">
        <is>
          <t>VARIABLE</t>
        </is>
      </c>
      <c r="B8" s="148" t="n">
        <v>2022</v>
      </c>
      <c r="C8" s="169" t="n"/>
      <c r="D8" s="50" t="n"/>
      <c r="E8" s="51" t="n"/>
      <c r="F8" s="51" t="n"/>
      <c r="G8" s="51" t="n"/>
      <c r="H8" s="51" t="n"/>
      <c r="I8" s="51" t="n"/>
      <c r="J8" s="51" t="n"/>
      <c r="K8" s="51" t="n"/>
      <c r="L8" s="51" t="n"/>
      <c r="M8" s="51" t="n"/>
      <c r="N8" s="51" t="n"/>
      <c r="O8" s="52" t="n"/>
    </row>
    <row r="9" ht="25.5" customFormat="1" customHeight="1" s="41">
      <c r="A9" s="53" t="inlineStr">
        <is>
          <t xml:space="preserve">Número de eventos por causa de salud ultimo año </t>
        </is>
      </c>
      <c r="B9" s="149" t="n">
        <v>3</v>
      </c>
      <c r="C9" s="169" t="n"/>
      <c r="D9" s="54" t="n"/>
      <c r="E9" s="54" t="n"/>
      <c r="F9" s="54" t="n"/>
      <c r="G9" s="54" t="n"/>
      <c r="H9" s="54" t="n"/>
      <c r="I9" s="54" t="n"/>
      <c r="J9" s="54" t="n"/>
      <c r="K9" s="54" t="n"/>
      <c r="L9" s="54" t="n"/>
      <c r="M9" s="54" t="n"/>
      <c r="N9" s="54" t="n"/>
      <c r="O9" s="55" t="n"/>
    </row>
    <row r="10" ht="25.5" customHeight="1" s="89">
      <c r="A10" s="53" t="inlineStr">
        <is>
          <t>Horas hombre programadas en el año</t>
        </is>
      </c>
      <c r="B10" s="166" t="n">
        <v>12279</v>
      </c>
      <c r="C10" s="184" t="n"/>
      <c r="D10" s="54" t="n"/>
      <c r="E10" s="54" t="n"/>
      <c r="F10" s="54" t="n"/>
      <c r="G10" s="54" t="n"/>
      <c r="H10" s="54" t="n"/>
      <c r="I10" s="54" t="n"/>
      <c r="J10" s="54" t="n"/>
      <c r="K10" s="54" t="n"/>
      <c r="L10" s="54" t="n"/>
      <c r="M10" s="54" t="n"/>
      <c r="N10" s="54" t="n"/>
      <c r="O10" s="55" t="n"/>
    </row>
    <row r="11" ht="21.75" customHeight="1" s="89">
      <c r="B11" s="149" t="n">
        <v>240000</v>
      </c>
      <c r="C11" s="169" t="n"/>
      <c r="D11" s="56" t="n"/>
      <c r="E11" s="56" t="n"/>
      <c r="F11" s="56" t="n"/>
      <c r="G11" s="56" t="n"/>
      <c r="H11" s="56" t="n"/>
      <c r="I11" s="56" t="n"/>
      <c r="J11" s="56" t="n"/>
      <c r="K11" s="56" t="n"/>
      <c r="L11" s="56" t="n"/>
      <c r="M11" s="56" t="n"/>
      <c r="N11" s="56" t="n"/>
      <c r="O11" s="57" t="n"/>
    </row>
    <row r="12" ht="30.75" customHeight="1" s="89">
      <c r="A12" s="37" t="inlineStr">
        <is>
          <t>Indice de frecuencia de Ausentismo</t>
        </is>
      </c>
      <c r="B12" s="165">
        <f>B9/B10*B11</f>
        <v/>
      </c>
      <c r="C12" s="169" t="n"/>
      <c r="D12" s="56" t="n"/>
      <c r="E12" s="56" t="n"/>
      <c r="F12" s="56" t="n"/>
      <c r="G12" s="56" t="n"/>
      <c r="H12" s="56" t="n"/>
      <c r="I12" s="56" t="n"/>
      <c r="J12" s="56" t="n"/>
      <c r="K12" s="56" t="n"/>
      <c r="L12" s="56" t="n"/>
      <c r="M12" s="56" t="n"/>
      <c r="N12" s="56" t="n"/>
      <c r="O12" s="57">
        <f>(O9*#REF!/#REF!)</f>
        <v/>
      </c>
    </row>
    <row r="13"/>
    <row r="14"/>
    <row r="15"/>
    <row r="16"/>
    <row r="17"/>
    <row r="18"/>
    <row r="19"/>
    <row r="20"/>
    <row r="21"/>
    <row r="22"/>
    <row r="23"/>
    <row r="24"/>
    <row r="25"/>
    <row r="26">
      <c r="A26" s="148" t="inlineStr">
        <is>
          <t>VARIABLE</t>
        </is>
      </c>
      <c r="B26" s="30" t="inlineStr">
        <is>
          <t xml:space="preserve">ENERO </t>
        </is>
      </c>
      <c r="C26" s="30" t="inlineStr">
        <is>
          <t>FEBRERO</t>
        </is>
      </c>
      <c r="D26" s="30" t="inlineStr">
        <is>
          <t>MARZO</t>
        </is>
      </c>
      <c r="E26" s="30" t="inlineStr">
        <is>
          <t>ABRIL</t>
        </is>
      </c>
      <c r="F26" s="30" t="inlineStr">
        <is>
          <t>MAYO</t>
        </is>
      </c>
      <c r="G26" s="30" t="inlineStr">
        <is>
          <t>JUNIO</t>
        </is>
      </c>
      <c r="H26" s="30" t="inlineStr">
        <is>
          <t>JULIO</t>
        </is>
      </c>
      <c r="I26" s="30" t="inlineStr">
        <is>
          <t>AGOSTO</t>
        </is>
      </c>
      <c r="J26" s="30" t="inlineStr">
        <is>
          <t>SEPTIEMBRE</t>
        </is>
      </c>
      <c r="K26" s="30" t="inlineStr">
        <is>
          <t>OCTUBRE</t>
        </is>
      </c>
      <c r="L26" s="30" t="inlineStr">
        <is>
          <t>NOVIEMBRE</t>
        </is>
      </c>
      <c r="M26" s="30" t="inlineStr">
        <is>
          <t>DICIEMBRE</t>
        </is>
      </c>
      <c r="N26" s="30" t="inlineStr">
        <is>
          <t>ACUMULADO</t>
        </is>
      </c>
    </row>
    <row r="27" ht="20.25" customHeight="1" s="89">
      <c r="A27" s="60" t="inlineStr">
        <is>
          <t xml:space="preserve">Dias de Ausentismo </t>
        </is>
      </c>
      <c r="B27" s="58" t="n">
        <v>17</v>
      </c>
      <c r="C27" s="58" t="n">
        <v>0</v>
      </c>
      <c r="D27" s="58" t="n">
        <v>0</v>
      </c>
      <c r="E27" s="58" t="n">
        <v>0</v>
      </c>
      <c r="F27" s="58" t="n">
        <v>0</v>
      </c>
      <c r="G27" s="58" t="n">
        <v>0</v>
      </c>
      <c r="H27" s="58" t="n">
        <v>0</v>
      </c>
      <c r="I27" s="58" t="n">
        <v>6</v>
      </c>
      <c r="J27" s="58" t="n">
        <v>0</v>
      </c>
      <c r="K27" s="58" t="n">
        <v>0</v>
      </c>
      <c r="L27" s="58" t="n">
        <v>0</v>
      </c>
      <c r="M27" s="58" t="n">
        <v>0</v>
      </c>
      <c r="N27" s="44">
        <f>SUM(B27:M27)</f>
        <v/>
      </c>
    </row>
    <row r="28" ht="27" customHeight="1" s="89">
      <c r="A28" s="59" t="inlineStr">
        <is>
          <t>Numero de eventos por causa medica</t>
        </is>
      </c>
      <c r="B28" s="149" t="n">
        <v>2</v>
      </c>
      <c r="C28" s="149" t="n">
        <v>0</v>
      </c>
      <c r="D28" s="149" t="n">
        <v>0</v>
      </c>
      <c r="E28" s="149" t="n">
        <v>0</v>
      </c>
      <c r="F28" s="149" t="n">
        <v>0</v>
      </c>
      <c r="G28" s="149" t="n">
        <v>0</v>
      </c>
      <c r="H28" s="149" t="n">
        <v>0</v>
      </c>
      <c r="I28" s="149" t="n">
        <v>1</v>
      </c>
      <c r="J28" s="149" t="n">
        <v>0</v>
      </c>
      <c r="K28" s="149" t="n">
        <v>0</v>
      </c>
      <c r="L28" s="149" t="n">
        <v>0</v>
      </c>
      <c r="M28" s="149" t="n">
        <v>0</v>
      </c>
      <c r="N28" s="149">
        <f>SUM(B28:M28)</f>
        <v/>
      </c>
    </row>
    <row r="29">
      <c r="A29" s="45" t="inlineStr">
        <is>
          <t>Total ausentismo</t>
        </is>
      </c>
      <c r="B29" s="65" t="n"/>
      <c r="C29" s="65" t="n"/>
      <c r="D29" s="65" t="n"/>
      <c r="E29" s="65" t="n"/>
      <c r="F29" s="65" t="n"/>
      <c r="G29" s="65" t="n"/>
      <c r="H29" s="65" t="n"/>
      <c r="I29" s="65" t="n"/>
      <c r="J29" s="65" t="n"/>
      <c r="K29" s="65" t="n"/>
      <c r="L29" s="65" t="n"/>
      <c r="M29" s="65" t="n"/>
      <c r="N29" s="65" t="n"/>
    </row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mergeCells count="32">
    <mergeCell ref="J5:K5"/>
    <mergeCell ref="B3:C3"/>
    <mergeCell ref="L5:N5"/>
    <mergeCell ref="A4:G4"/>
    <mergeCell ref="A1:N1"/>
    <mergeCell ref="F3:G3"/>
    <mergeCell ref="B12:C12"/>
    <mergeCell ref="B2:C2"/>
    <mergeCell ref="D2:E2"/>
    <mergeCell ref="B11:C11"/>
    <mergeCell ref="A5:C5"/>
    <mergeCell ref="F5:G5"/>
    <mergeCell ref="L2:O2"/>
    <mergeCell ref="B8:C8"/>
    <mergeCell ref="A6:C7"/>
    <mergeCell ref="F2:G2"/>
    <mergeCell ref="H4:N4"/>
    <mergeCell ref="H2:I2"/>
    <mergeCell ref="B10:C10"/>
    <mergeCell ref="D6:E7"/>
    <mergeCell ref="F6:G7"/>
    <mergeCell ref="B9:C9"/>
    <mergeCell ref="D3:E3"/>
    <mergeCell ref="H3:I3"/>
    <mergeCell ref="J3:K3"/>
    <mergeCell ref="H6:I7"/>
    <mergeCell ref="J2:K2"/>
    <mergeCell ref="J6:K7"/>
    <mergeCell ref="D5:E5"/>
    <mergeCell ref="H5:I5"/>
    <mergeCell ref="L3:N3"/>
    <mergeCell ref="L6:N7"/>
  </mergeCells>
  <conditionalFormatting sqref="B27:M27">
    <cfRule type="cellIs" priority="1" operator="equal" dxfId="1" stopIfTrue="1">
      <formula>3.41</formula>
    </cfRule>
    <cfRule type="cellIs" priority="2" operator="lessThan" dxfId="1" stopIfTrue="1">
      <formula>3.41</formula>
    </cfRule>
    <cfRule type="cellIs" priority="3" operator="greaterThan" dxfId="0" stopIfTrue="1">
      <formula>3.41</formula>
    </cfRule>
  </conditionalFormatting>
  <pageMargins left="0.7" right="0.7" top="0.75" bottom="0.75" header="0.511805555555555" footer="0.511805555555555"/>
  <pageSetup orientation="portrait" firstPageNumber="0" horizontalDpi="300" verticalDpi="300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60"/>
  <sheetViews>
    <sheetView topLeftCell="A4" zoomScale="82" zoomScaleNormal="82" workbookViewId="0">
      <selection activeCell="K26" sqref="K26"/>
    </sheetView>
  </sheetViews>
  <sheetFormatPr baseColWidth="10" defaultColWidth="9.140625" defaultRowHeight="15"/>
  <cols>
    <col width="27.7109375" customWidth="1" style="24" min="1" max="1"/>
    <col width="12.42578125" customWidth="1" style="24" min="2" max="2"/>
    <col width="13.5703125" customWidth="1" style="24" min="3" max="3"/>
    <col width="13" customWidth="1" style="24" min="4" max="4"/>
    <col width="12.140625" customWidth="1" style="24" min="5" max="5"/>
    <col width="13.140625" customWidth="1" style="24" min="6" max="6"/>
    <col width="12.5703125" customWidth="1" style="24" min="7" max="8"/>
    <col width="13.42578125" customWidth="1" style="24" min="9" max="9"/>
    <col width="11.85546875" customWidth="1" style="24" min="10" max="10"/>
    <col width="12.5703125" customWidth="1" style="24" min="11" max="11"/>
    <col width="11" customWidth="1" style="24" min="12" max="12"/>
    <col width="12.140625" customWidth="1" style="24" min="13" max="13"/>
    <col hidden="1" width="11.5703125" customWidth="1" style="24" min="14" max="14"/>
    <col width="11.140625" customWidth="1" style="24" min="15" max="1025"/>
    <col width="9.140625" customWidth="1" style="23" min="1026" max="16384"/>
  </cols>
  <sheetData>
    <row r="1" ht="29.25" customHeight="1" s="89">
      <c r="A1" s="192" t="inlineStr">
        <is>
          <t>FICHA TÉCNICA</t>
        </is>
      </c>
      <c r="B1" s="168" t="n"/>
      <c r="C1" s="168" t="n"/>
      <c r="D1" s="168" t="n"/>
      <c r="E1" s="168" t="n"/>
      <c r="F1" s="168" t="n"/>
      <c r="G1" s="168" t="n"/>
      <c r="H1" s="168" t="n"/>
      <c r="I1" s="168" t="n"/>
      <c r="J1" s="168" t="n"/>
      <c r="K1" s="168" t="n"/>
      <c r="L1" s="168" t="n"/>
      <c r="M1" s="169" t="n"/>
      <c r="N1" s="39" t="n"/>
    </row>
    <row r="2" ht="31.5" customHeight="1" s="89">
      <c r="A2" s="138" t="inlineStr">
        <is>
          <t xml:space="preserve">NOMBRE DEL INDICADOR </t>
        </is>
      </c>
      <c r="B2" s="138" t="inlineStr">
        <is>
          <t xml:space="preserve">TIPO INDICADOR </t>
        </is>
      </c>
      <c r="C2" s="138" t="inlineStr">
        <is>
          <t xml:space="preserve">FORMULA DE INDICADOR </t>
        </is>
      </c>
      <c r="D2" s="169" t="n"/>
      <c r="E2" s="138" t="inlineStr">
        <is>
          <t>DEFINICIÓN</t>
        </is>
      </c>
      <c r="F2" s="169" t="n"/>
      <c r="G2" s="138" t="inlineStr">
        <is>
          <t>INTERPRETACIÓN</t>
        </is>
      </c>
      <c r="H2" s="169" t="n"/>
      <c r="I2" s="138" t="inlineStr">
        <is>
          <t>UNIDAD DE MEDIDA</t>
        </is>
      </c>
      <c r="J2" s="169" t="n"/>
      <c r="K2" s="138" t="inlineStr">
        <is>
          <t>META</t>
        </is>
      </c>
      <c r="L2" s="168" t="n"/>
      <c r="M2" s="168" t="n"/>
      <c r="N2" s="169" t="n"/>
    </row>
    <row r="3" ht="173.25" customHeight="1" s="89">
      <c r="A3" s="139" t="inlineStr">
        <is>
          <t>Cobertura de inducción</t>
        </is>
      </c>
      <c r="B3" s="151" t="inlineStr">
        <is>
          <t xml:space="preserve">Resultado </t>
        </is>
      </c>
      <c r="C3" s="139" t="inlineStr">
        <is>
          <t>Número de personas que asisten a la inducción./
   Número de personas que ingresan en el periodo *100</t>
        </is>
      </c>
      <c r="D3" s="169" t="n"/>
      <c r="E3" s="139" t="inlineStr">
        <is>
          <t>Muestra el porcentaje de personas que reciben la inducción</t>
        </is>
      </c>
      <c r="F3" s="169" t="n"/>
      <c r="G3" s="139" t="inlineStr">
        <is>
          <t>90 % de las personas nuevas aaistieron a la induccion</t>
        </is>
      </c>
      <c r="H3" s="169" t="n"/>
      <c r="I3" s="151" t="inlineStr">
        <is>
          <t xml:space="preserve">Porcentaje </t>
        </is>
      </c>
      <c r="J3" s="169" t="n"/>
      <c r="K3" s="141" t="n">
        <v>1</v>
      </c>
      <c r="L3" s="168" t="n"/>
      <c r="M3" s="169" t="n"/>
      <c r="N3" s="39" t="n"/>
    </row>
    <row r="4" ht="22.5" customHeight="1" s="89">
      <c r="A4" s="142" t="inlineStr">
        <is>
          <t xml:space="preserve">TIPO DE INDICADOR </t>
        </is>
      </c>
      <c r="B4" s="168" t="n"/>
      <c r="C4" s="168" t="n"/>
      <c r="D4" s="168" t="n"/>
      <c r="E4" s="168" t="n"/>
      <c r="F4" s="169" t="n"/>
      <c r="G4" s="142" t="inlineStr">
        <is>
          <t>PERIORICIDAD</t>
        </is>
      </c>
      <c r="H4" s="168" t="n"/>
      <c r="I4" s="168" t="n"/>
      <c r="J4" s="168" t="n"/>
      <c r="K4" s="168" t="n"/>
      <c r="L4" s="168" t="n"/>
      <c r="M4" s="169" t="n"/>
      <c r="N4" s="39" t="n"/>
    </row>
    <row r="5" ht="12.75" customFormat="1" customHeight="1" s="28">
      <c r="A5" s="145" t="inlineStr">
        <is>
          <t>ESTRUCTURA</t>
        </is>
      </c>
      <c r="B5" s="169" t="n"/>
      <c r="C5" s="145" t="inlineStr">
        <is>
          <t>PROCESO</t>
        </is>
      </c>
      <c r="D5" s="169" t="n"/>
      <c r="E5" s="145" t="inlineStr">
        <is>
          <t>RESULTADO</t>
        </is>
      </c>
      <c r="F5" s="169" t="n"/>
      <c r="G5" s="145" t="inlineStr">
        <is>
          <t>MENSUAL</t>
        </is>
      </c>
      <c r="H5" s="169" t="n"/>
      <c r="I5" s="145" t="inlineStr">
        <is>
          <t>SEMESTRAL</t>
        </is>
      </c>
      <c r="J5" s="169" t="n"/>
      <c r="K5" s="145" t="inlineStr">
        <is>
          <t>ANUAL</t>
        </is>
      </c>
      <c r="L5" s="168" t="n"/>
      <c r="M5" s="169" t="n"/>
      <c r="N5" s="40" t="n"/>
    </row>
    <row r="6">
      <c r="A6" s="138" t="n"/>
      <c r="B6" s="176" t="n"/>
      <c r="C6" s="145" t="n"/>
      <c r="D6" s="176" t="n"/>
      <c r="E6" s="145" t="inlineStr">
        <is>
          <t>X</t>
        </is>
      </c>
      <c r="F6" s="176" t="n"/>
      <c r="G6" s="145" t="inlineStr">
        <is>
          <t>X</t>
        </is>
      </c>
      <c r="H6" s="176" t="n"/>
      <c r="I6" s="147" t="n"/>
      <c r="J6" s="176" t="n"/>
      <c r="K6" s="147" t="n"/>
      <c r="L6" s="177" t="n"/>
      <c r="M6" s="176" t="n"/>
      <c r="N6" s="39" t="n"/>
    </row>
    <row r="7">
      <c r="A7" s="178" t="n"/>
      <c r="B7" s="179" t="n"/>
      <c r="C7" s="178" t="n"/>
      <c r="D7" s="179" t="n"/>
      <c r="E7" s="178" t="n"/>
      <c r="F7" s="179" t="n"/>
      <c r="G7" s="178" t="n"/>
      <c r="H7" s="179" t="n"/>
      <c r="I7" s="178" t="n"/>
      <c r="J7" s="179" t="n"/>
      <c r="K7" s="178" t="n"/>
      <c r="L7" s="180" t="n"/>
      <c r="M7" s="179" t="n"/>
      <c r="N7" s="39" t="n"/>
    </row>
    <row r="8">
      <c r="A8" s="148" t="inlineStr">
        <is>
          <t>VARIABLE</t>
        </is>
      </c>
      <c r="B8" s="30" t="inlineStr">
        <is>
          <t xml:space="preserve">ENERO </t>
        </is>
      </c>
      <c r="C8" s="30" t="inlineStr">
        <is>
          <t>FEBRERO</t>
        </is>
      </c>
      <c r="D8" s="30" t="inlineStr">
        <is>
          <t>MARZO</t>
        </is>
      </c>
      <c r="E8" s="30" t="inlineStr">
        <is>
          <t>ABRIL</t>
        </is>
      </c>
      <c r="F8" s="30" t="inlineStr">
        <is>
          <t>MAYO</t>
        </is>
      </c>
      <c r="G8" s="30" t="inlineStr">
        <is>
          <t>JUNIO</t>
        </is>
      </c>
      <c r="H8" s="30" t="inlineStr">
        <is>
          <t>JULIO</t>
        </is>
      </c>
      <c r="I8" s="30" t="inlineStr">
        <is>
          <t>AGOSTO</t>
        </is>
      </c>
      <c r="J8" s="30" t="inlineStr">
        <is>
          <t>SEPTIEMBRE</t>
        </is>
      </c>
      <c r="K8" s="30" t="inlineStr">
        <is>
          <t>OCTUBRE</t>
        </is>
      </c>
      <c r="L8" s="30" t="inlineStr">
        <is>
          <t>NOVIEMBRE</t>
        </is>
      </c>
      <c r="M8" s="30" t="inlineStr">
        <is>
          <t>DICIEMBRE</t>
        </is>
      </c>
      <c r="N8" s="39" t="n"/>
    </row>
    <row r="9" ht="25.5" customFormat="1" customHeight="1" s="41">
      <c r="A9" s="61" t="inlineStr">
        <is>
          <t xml:space="preserve">Número de personas que asisten a la capacitación </t>
        </is>
      </c>
      <c r="B9" s="149" t="n">
        <v>1</v>
      </c>
      <c r="C9" s="149" t="n">
        <v>0</v>
      </c>
      <c r="D9" s="149" t="n">
        <v>1</v>
      </c>
      <c r="E9" s="149" t="n">
        <v>2</v>
      </c>
      <c r="F9" s="149" t="n">
        <v>1</v>
      </c>
      <c r="G9" s="149" t="n">
        <v>0</v>
      </c>
      <c r="H9" s="149" t="n">
        <v>0</v>
      </c>
      <c r="I9" s="149" t="n">
        <v>0</v>
      </c>
      <c r="J9" s="149" t="n">
        <v>0</v>
      </c>
      <c r="K9" s="149" t="n">
        <v>4</v>
      </c>
      <c r="L9" s="149" t="n">
        <v>1</v>
      </c>
      <c r="M9" s="149" t="n">
        <v>2</v>
      </c>
      <c r="N9" s="44" t="n"/>
    </row>
    <row r="10" ht="32.25" customHeight="1" s="89">
      <c r="A10" s="61" t="inlineStr">
        <is>
          <t xml:space="preserve">Número de personas que ingresan en el periodo </t>
        </is>
      </c>
      <c r="B10" s="149" t="n">
        <v>1</v>
      </c>
      <c r="C10" s="149" t="n">
        <v>0</v>
      </c>
      <c r="D10" s="149" t="n">
        <v>1</v>
      </c>
      <c r="E10" s="149" t="n">
        <v>2</v>
      </c>
      <c r="F10" s="149" t="n">
        <v>1</v>
      </c>
      <c r="G10" s="149" t="n">
        <v>0</v>
      </c>
      <c r="H10" s="149" t="n">
        <v>0</v>
      </c>
      <c r="I10" s="149" t="n">
        <v>0</v>
      </c>
      <c r="J10" s="149" t="n">
        <v>0</v>
      </c>
      <c r="K10" s="149" t="n">
        <v>4</v>
      </c>
      <c r="L10" s="149" t="n">
        <v>1</v>
      </c>
      <c r="M10" s="149" t="n">
        <v>2</v>
      </c>
      <c r="N10" s="151" t="n"/>
    </row>
    <row r="11" ht="30.75" customHeight="1" s="89">
      <c r="A11" s="45" t="inlineStr">
        <is>
          <t>Cobertura de inducción</t>
        </is>
      </c>
      <c r="B11" s="65">
        <f>(B9/B10)*100%</f>
        <v/>
      </c>
      <c r="C11" s="65">
        <f>(C9/C10)*100</f>
        <v/>
      </c>
      <c r="D11" s="65">
        <f>(D9/D10)*100%</f>
        <v/>
      </c>
      <c r="E11" s="65">
        <f>E10*100%/E9</f>
        <v/>
      </c>
      <c r="F11" s="65">
        <f>F10*100%/F9</f>
        <v/>
      </c>
      <c r="G11" s="65">
        <f>G10*100%/G9</f>
        <v/>
      </c>
      <c r="H11" s="65">
        <f>H10*100%/H9</f>
        <v/>
      </c>
      <c r="I11" s="65">
        <f>I10*100%/I9</f>
        <v/>
      </c>
      <c r="J11" s="65">
        <f>J10*100%/J9</f>
        <v/>
      </c>
      <c r="K11" s="65">
        <f>K10*100%/K9</f>
        <v/>
      </c>
      <c r="L11" s="65">
        <f>L10*100%/L9</f>
        <v/>
      </c>
      <c r="M11" s="65">
        <f>M10*100%/M9</f>
        <v/>
      </c>
      <c r="N11" s="65">
        <f>N10*100%/N9</f>
        <v/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mergeCells count="25">
    <mergeCell ref="E6:F7"/>
    <mergeCell ref="G2:H2"/>
    <mergeCell ref="G6:H7"/>
    <mergeCell ref="I2:J2"/>
    <mergeCell ref="C5:D5"/>
    <mergeCell ref="G4:M4"/>
    <mergeCell ref="E5:F5"/>
    <mergeCell ref="K6:M7"/>
    <mergeCell ref="A4:F4"/>
    <mergeCell ref="G3:H3"/>
    <mergeCell ref="I3:J3"/>
    <mergeCell ref="A1:M1"/>
    <mergeCell ref="C2:D2"/>
    <mergeCell ref="C6:D7"/>
    <mergeCell ref="I6:J7"/>
    <mergeCell ref="E2:F2"/>
    <mergeCell ref="A5:B5"/>
    <mergeCell ref="G5:H5"/>
    <mergeCell ref="I5:J5"/>
    <mergeCell ref="K3:M3"/>
    <mergeCell ref="K5:M5"/>
    <mergeCell ref="A6:B7"/>
    <mergeCell ref="K2:N2"/>
    <mergeCell ref="C3:D3"/>
    <mergeCell ref="E3:F3"/>
  </mergeCells>
  <pageMargins left="0.7" right="0.7" top="0.75" bottom="0.75" header="0.511805555555555" footer="0.511805555555555"/>
  <pageSetup orientation="portrait" firstPageNumber="0" horizontalDpi="300" verticalDpi="300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60"/>
  <sheetViews>
    <sheetView topLeftCell="A4" zoomScale="82" zoomScaleNormal="82" workbookViewId="0">
      <selection activeCell="M10" sqref="M10"/>
    </sheetView>
  </sheetViews>
  <sheetFormatPr baseColWidth="10" defaultColWidth="9.140625" defaultRowHeight="15"/>
  <cols>
    <col width="21.85546875" customWidth="1" style="24" min="1" max="1"/>
    <col width="13" customWidth="1" style="24" min="2" max="2"/>
    <col width="11.5703125" customWidth="1" style="24" min="3" max="3"/>
    <col width="12.7109375" customWidth="1" style="24" min="4" max="4"/>
    <col width="13" customWidth="1" style="24" min="5" max="5"/>
    <col width="12.140625" customWidth="1" style="24" min="6" max="6"/>
    <col width="11.42578125" customWidth="1" style="24" min="7" max="7"/>
    <col width="10.140625" customWidth="1" style="24" min="8" max="8"/>
    <col width="10.28515625" customWidth="1" style="24" min="9" max="9"/>
    <col width="11.85546875" customWidth="1" style="24" min="10" max="10"/>
    <col width="10.7109375" customWidth="1" style="24" min="11" max="11"/>
    <col width="11.28515625" customWidth="1" style="24" min="12" max="13"/>
    <col width="9.140625" customWidth="1" style="24" min="14" max="1023"/>
    <col width="9.140625" customWidth="1" style="23" min="1024" max="1025"/>
    <col width="9.140625" customWidth="1" style="23" min="1026" max="16384"/>
  </cols>
  <sheetData>
    <row r="1" ht="40.5" customHeight="1" s="89">
      <c r="A1" s="192" t="inlineStr">
        <is>
          <t>FICHA TÉCNICA</t>
        </is>
      </c>
      <c r="B1" s="168" t="n"/>
      <c r="C1" s="168" t="n"/>
      <c r="D1" s="168" t="n"/>
      <c r="E1" s="168" t="n"/>
      <c r="F1" s="168" t="n"/>
      <c r="G1" s="168" t="n"/>
      <c r="H1" s="168" t="n"/>
      <c r="I1" s="168" t="n"/>
      <c r="J1" s="168" t="n"/>
      <c r="K1" s="168" t="n"/>
      <c r="L1" s="168" t="n"/>
      <c r="M1" s="169" t="n"/>
    </row>
    <row r="2" ht="31.5" customHeight="1" s="89">
      <c r="A2" s="138" t="inlineStr">
        <is>
          <t xml:space="preserve">NOMBRE DEL INDICADOR </t>
        </is>
      </c>
      <c r="B2" s="138" t="inlineStr">
        <is>
          <t xml:space="preserve">TIPO INDICADOR </t>
        </is>
      </c>
      <c r="C2" s="138" t="inlineStr">
        <is>
          <t xml:space="preserve">FORMULA DE INDICADOR </t>
        </is>
      </c>
      <c r="D2" s="169" t="n"/>
      <c r="E2" s="138" t="inlineStr">
        <is>
          <t>DEFINICIÓN</t>
        </is>
      </c>
      <c r="F2" s="169" t="n"/>
      <c r="G2" s="138" t="inlineStr">
        <is>
          <t>INTERPRETACIÓN</t>
        </is>
      </c>
      <c r="H2" s="169" t="n"/>
      <c r="I2" s="138" t="inlineStr">
        <is>
          <t>UNIDAD DE MEDIDA</t>
        </is>
      </c>
      <c r="J2" s="169" t="n"/>
      <c r="K2" s="138" t="inlineStr">
        <is>
          <t>META</t>
        </is>
      </c>
      <c r="L2" s="168" t="n"/>
      <c r="M2" s="169" t="n"/>
    </row>
    <row r="3" ht="173.25" customHeight="1" s="89">
      <c r="A3" s="139" t="inlineStr">
        <is>
          <t xml:space="preserve">Acciones correctivas </t>
        </is>
      </c>
      <c r="B3" s="151" t="inlineStr">
        <is>
          <t xml:space="preserve">Resultado </t>
        </is>
      </c>
      <c r="C3" s="139" t="inlineStr">
        <is>
          <t>Acciones correctivas realizadas / Número de No Conformidades encontradas * 100</t>
        </is>
      </c>
      <c r="D3" s="169" t="n"/>
      <c r="E3" s="139" t="inlineStr">
        <is>
          <t xml:space="preserve">Muestra el porcentaje de acciones correctivas realizadas </t>
        </is>
      </c>
      <c r="F3" s="169" t="n"/>
      <c r="G3" s="139" t="inlineStr">
        <is>
          <t xml:space="preserve"> XX% de las no conformidades tienen acciones    X       correctivas</t>
        </is>
      </c>
      <c r="H3" s="169" t="n"/>
      <c r="I3" s="151" t="inlineStr">
        <is>
          <t xml:space="preserve">Porcentaje </t>
        </is>
      </c>
      <c r="J3" s="169" t="n"/>
      <c r="K3" s="141" t="n">
        <v>1</v>
      </c>
      <c r="L3" s="168" t="n"/>
      <c r="M3" s="169" t="n"/>
    </row>
    <row r="4" ht="22.5" customHeight="1" s="89">
      <c r="A4" s="142" t="inlineStr">
        <is>
          <t xml:space="preserve">TIPO DE INDICADOR </t>
        </is>
      </c>
      <c r="B4" s="168" t="n"/>
      <c r="C4" s="168" t="n"/>
      <c r="D4" s="168" t="n"/>
      <c r="E4" s="168" t="n"/>
      <c r="F4" s="169" t="n"/>
      <c r="G4" s="142" t="inlineStr">
        <is>
          <t>PERIORICIDAD</t>
        </is>
      </c>
      <c r="H4" s="168" t="n"/>
      <c r="I4" s="168" t="n"/>
      <c r="J4" s="168" t="n"/>
      <c r="K4" s="168" t="n"/>
      <c r="L4" s="168" t="n"/>
      <c r="M4" s="169" t="n"/>
    </row>
    <row r="5" ht="12.75" customFormat="1" customHeight="1" s="28">
      <c r="A5" s="145" t="inlineStr">
        <is>
          <t>ESTRUCTURA</t>
        </is>
      </c>
      <c r="B5" s="169" t="n"/>
      <c r="C5" s="145" t="inlineStr">
        <is>
          <t>PROCESO</t>
        </is>
      </c>
      <c r="D5" s="169" t="n"/>
      <c r="E5" s="145" t="inlineStr">
        <is>
          <t>RESULTADO</t>
        </is>
      </c>
      <c r="F5" s="169" t="n"/>
      <c r="G5" s="145" t="inlineStr">
        <is>
          <t>MENSUAL</t>
        </is>
      </c>
      <c r="H5" s="169" t="n"/>
      <c r="I5" s="145" t="inlineStr">
        <is>
          <t>SEMESTRAL</t>
        </is>
      </c>
      <c r="J5" s="169" t="n"/>
      <c r="K5" s="145" t="inlineStr">
        <is>
          <t>ANUAL</t>
        </is>
      </c>
      <c r="L5" s="168" t="n"/>
      <c r="M5" s="169" t="n"/>
    </row>
    <row r="6">
      <c r="A6" s="138" t="n"/>
      <c r="B6" s="176" t="n"/>
      <c r="C6" s="145" t="n"/>
      <c r="D6" s="176" t="n"/>
      <c r="E6" s="154" t="inlineStr">
        <is>
          <t>X</t>
        </is>
      </c>
      <c r="F6" s="176" t="n"/>
      <c r="G6" s="154" t="inlineStr">
        <is>
          <t>X</t>
        </is>
      </c>
      <c r="H6" s="176" t="n"/>
      <c r="I6" s="147" t="n"/>
      <c r="J6" s="176" t="n"/>
      <c r="K6" s="147" t="n"/>
      <c r="L6" s="177" t="n"/>
      <c r="M6" s="176" t="n"/>
    </row>
    <row r="7">
      <c r="A7" s="178" t="n"/>
      <c r="B7" s="179" t="n"/>
      <c r="C7" s="178" t="n"/>
      <c r="D7" s="179" t="n"/>
      <c r="E7" s="178" t="n"/>
      <c r="F7" s="179" t="n"/>
      <c r="G7" s="178" t="n"/>
      <c r="H7" s="179" t="n"/>
      <c r="I7" s="178" t="n"/>
      <c r="J7" s="179" t="n"/>
      <c r="K7" s="178" t="n"/>
      <c r="L7" s="180" t="n"/>
      <c r="M7" s="179" t="n"/>
    </row>
    <row r="8" customFormat="1" s="24">
      <c r="A8" s="148" t="inlineStr">
        <is>
          <t>VARIABLE</t>
        </is>
      </c>
      <c r="B8" s="30" t="inlineStr">
        <is>
          <t xml:space="preserve">ENERO </t>
        </is>
      </c>
      <c r="C8" s="30" t="inlineStr">
        <is>
          <t>FEBRERO</t>
        </is>
      </c>
      <c r="D8" s="30" t="inlineStr">
        <is>
          <t>MARZO</t>
        </is>
      </c>
      <c r="E8" s="30" t="inlineStr">
        <is>
          <t>ABRIL</t>
        </is>
      </c>
      <c r="F8" s="30" t="inlineStr">
        <is>
          <t>MAYO</t>
        </is>
      </c>
      <c r="G8" s="30" t="inlineStr">
        <is>
          <t>JUNIO</t>
        </is>
      </c>
      <c r="H8" s="30" t="inlineStr">
        <is>
          <t>JULIO</t>
        </is>
      </c>
      <c r="I8" s="30" t="inlineStr">
        <is>
          <t>AGOSTO</t>
        </is>
      </c>
      <c r="J8" s="30" t="inlineStr">
        <is>
          <t>SEPTIEMBRE</t>
        </is>
      </c>
      <c r="K8" s="30" t="inlineStr">
        <is>
          <t>OCTUBRE</t>
        </is>
      </c>
      <c r="L8" s="30" t="inlineStr">
        <is>
          <t>NOVIEMBRE</t>
        </is>
      </c>
      <c r="M8" s="30" t="inlineStr">
        <is>
          <t>DICIEMBRE</t>
        </is>
      </c>
    </row>
    <row r="9" ht="36.75" customFormat="1" customHeight="1" s="41">
      <c r="A9" s="139" t="inlineStr">
        <is>
          <t>Acciones correctivas realizadas</t>
        </is>
      </c>
      <c r="B9" s="149" t="n">
        <v>0</v>
      </c>
      <c r="C9" s="149" t="n">
        <v>1</v>
      </c>
      <c r="D9" s="149" t="n">
        <v>1</v>
      </c>
      <c r="E9" s="149" t="n">
        <v>0</v>
      </c>
      <c r="F9" s="149" t="n">
        <v>1</v>
      </c>
      <c r="G9" s="149" t="n">
        <v>1</v>
      </c>
      <c r="H9" s="149" t="n">
        <v>1</v>
      </c>
      <c r="I9" s="149" t="n">
        <v>1</v>
      </c>
      <c r="J9" s="149" t="n">
        <v>0</v>
      </c>
      <c r="K9" s="149" t="n">
        <v>0</v>
      </c>
      <c r="L9" s="149" t="n">
        <v>3</v>
      </c>
      <c r="M9" s="149" t="n">
        <v>0</v>
      </c>
    </row>
    <row r="10" ht="44.25" customFormat="1" customHeight="1" s="41">
      <c r="A10" s="139" t="inlineStr">
        <is>
          <t xml:space="preserve">Número de No Conformidades encontradas </t>
        </is>
      </c>
      <c r="B10" s="149" t="n">
        <v>0</v>
      </c>
      <c r="C10" s="149" t="n">
        <v>1</v>
      </c>
      <c r="D10" s="149" t="n">
        <v>1</v>
      </c>
      <c r="E10" s="149" t="n">
        <v>0</v>
      </c>
      <c r="F10" s="149" t="n">
        <v>1</v>
      </c>
      <c r="G10" s="149" t="n">
        <v>13</v>
      </c>
      <c r="H10" s="149" t="n">
        <v>13</v>
      </c>
      <c r="I10" s="149" t="n">
        <v>13</v>
      </c>
      <c r="J10" s="149" t="n">
        <v>0</v>
      </c>
      <c r="K10" s="149" t="n">
        <v>0</v>
      </c>
      <c r="L10" s="149" t="n">
        <v>3</v>
      </c>
      <c r="M10" s="149" t="n">
        <v>0</v>
      </c>
    </row>
    <row r="11" ht="41.25" customFormat="1" customHeight="1" s="24">
      <c r="A11" s="45" t="inlineStr">
        <is>
          <t xml:space="preserve">Acciones Correctivas Realizadas </t>
        </is>
      </c>
      <c r="B11" s="65">
        <f>B9/B10*100</f>
        <v/>
      </c>
      <c r="C11" s="65">
        <f>(C9/C10)*100%</f>
        <v/>
      </c>
      <c r="D11" s="65">
        <f>D9/D10*100%</f>
        <v/>
      </c>
      <c r="E11" s="65">
        <f>E9/E10*100</f>
        <v/>
      </c>
      <c r="F11" s="65">
        <f>F9/F10*100%</f>
        <v/>
      </c>
      <c r="G11" s="65">
        <f>G9/G10*100%</f>
        <v/>
      </c>
      <c r="H11" s="65">
        <f>H9/H10*100%</f>
        <v/>
      </c>
      <c r="I11" s="65">
        <f>I9/I10*100%</f>
        <v/>
      </c>
      <c r="J11" s="65">
        <f>J9/J10*100%</f>
        <v/>
      </c>
      <c r="K11" s="65">
        <f>K9/K10*100%</f>
        <v/>
      </c>
      <c r="L11" s="65">
        <f>L9/L10*100%</f>
        <v/>
      </c>
      <c r="M11" s="65">
        <f>M9/M10*100</f>
        <v/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mergeCells count="25">
    <mergeCell ref="E6:F7"/>
    <mergeCell ref="G2:H2"/>
    <mergeCell ref="G6:H7"/>
    <mergeCell ref="I2:J2"/>
    <mergeCell ref="C5:D5"/>
    <mergeCell ref="G4:M4"/>
    <mergeCell ref="E5:F5"/>
    <mergeCell ref="K6:M7"/>
    <mergeCell ref="K2:M2"/>
    <mergeCell ref="A4:F4"/>
    <mergeCell ref="G3:H3"/>
    <mergeCell ref="I3:J3"/>
    <mergeCell ref="A1:M1"/>
    <mergeCell ref="C2:D2"/>
    <mergeCell ref="C6:D7"/>
    <mergeCell ref="I6:J7"/>
    <mergeCell ref="E2:F2"/>
    <mergeCell ref="A5:B5"/>
    <mergeCell ref="G5:H5"/>
    <mergeCell ref="I5:J5"/>
    <mergeCell ref="K3:M3"/>
    <mergeCell ref="K5:M5"/>
    <mergeCell ref="A6:B7"/>
    <mergeCell ref="C3:D3"/>
    <mergeCell ref="E3:F3"/>
  </mergeCells>
  <pageMargins left="0.7" right="0.7" top="0.75" bottom="0.75" header="0.511805555555555" footer="0.511805555555555"/>
  <pageSetup orientation="portrait" firstPageNumber="0" horizontalDpi="300" verticalDpi="300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60"/>
  <sheetViews>
    <sheetView zoomScale="82" zoomScaleNormal="82" workbookViewId="0">
      <selection activeCell="F12" sqref="F12"/>
    </sheetView>
  </sheetViews>
  <sheetFormatPr baseColWidth="10" defaultColWidth="9.140625" defaultRowHeight="15"/>
  <cols>
    <col width="21.85546875" customWidth="1" style="24" min="1" max="1"/>
    <col width="13" customWidth="1" style="24" min="2" max="2"/>
    <col width="11.5703125" customWidth="1" style="24" min="3" max="3"/>
    <col width="12.7109375" customWidth="1" style="24" min="4" max="4"/>
    <col width="13" customWidth="1" style="24" min="5" max="5"/>
    <col width="12.140625" customWidth="1" style="24" min="6" max="6"/>
    <col width="11.42578125" customWidth="1" style="24" min="7" max="7"/>
    <col width="10.140625" customWidth="1" style="24" min="8" max="8"/>
    <col width="10.28515625" customWidth="1" style="24" min="9" max="9"/>
    <col width="12.140625" customWidth="1" style="24" min="10" max="10"/>
    <col width="11.5703125" customWidth="1" style="24" min="11" max="11"/>
    <col width="12.7109375" customWidth="1" style="24" min="12" max="12"/>
    <col width="12.5703125" customWidth="1" style="24" min="13" max="13"/>
    <col width="9.140625" customWidth="1" style="24" min="14" max="1023"/>
    <col width="9.140625" customWidth="1" style="23" min="1024" max="1025"/>
    <col width="9.140625" customWidth="1" style="23" min="1026" max="16384"/>
  </cols>
  <sheetData>
    <row r="1" ht="33" customHeight="1" s="89">
      <c r="A1" s="192" t="inlineStr">
        <is>
          <t>FICHA TÉCNICA</t>
        </is>
      </c>
      <c r="B1" s="168" t="n"/>
      <c r="C1" s="168" t="n"/>
      <c r="D1" s="168" t="n"/>
      <c r="E1" s="168" t="n"/>
      <c r="F1" s="168" t="n"/>
      <c r="G1" s="168" t="n"/>
      <c r="H1" s="168" t="n"/>
      <c r="I1" s="168" t="n"/>
      <c r="J1" s="168" t="n"/>
      <c r="K1" s="168" t="n"/>
      <c r="L1" s="168" t="n"/>
      <c r="M1" s="169" t="n"/>
    </row>
    <row r="2" ht="31.5" customHeight="1" s="89">
      <c r="A2" s="138" t="inlineStr">
        <is>
          <t xml:space="preserve">NOMBRE DEL INDICADOR </t>
        </is>
      </c>
      <c r="B2" s="138" t="inlineStr">
        <is>
          <t xml:space="preserve">TIPO INDICADOR </t>
        </is>
      </c>
      <c r="C2" s="138" t="inlineStr">
        <is>
          <t xml:space="preserve">FORMULA DE INDICADOR </t>
        </is>
      </c>
      <c r="D2" s="169" t="n"/>
      <c r="E2" s="138" t="inlineStr">
        <is>
          <t>DEFINICIÓN</t>
        </is>
      </c>
      <c r="F2" s="169" t="n"/>
      <c r="G2" s="138" t="inlineStr">
        <is>
          <t>INTERPRETACIÓN</t>
        </is>
      </c>
      <c r="H2" s="169" t="n"/>
      <c r="I2" s="138" t="inlineStr">
        <is>
          <t>UNIDAD DE MEDIDA</t>
        </is>
      </c>
      <c r="J2" s="169" t="n"/>
      <c r="K2" s="138" t="inlineStr">
        <is>
          <t>META</t>
        </is>
      </c>
      <c r="L2" s="168" t="n"/>
      <c r="M2" s="169" t="n"/>
    </row>
    <row r="3" ht="173.25" customHeight="1" s="89">
      <c r="A3" s="139" t="inlineStr">
        <is>
          <t xml:space="preserve">Requisitos Legales </t>
        </is>
      </c>
      <c r="B3" s="151" t="inlineStr">
        <is>
          <t xml:space="preserve">Estructura </t>
        </is>
      </c>
      <c r="C3" s="139" t="inlineStr">
        <is>
          <t>Cumplimiento Req-Legal = (Requisitos legales cumplidos/Requisitos legales aplicables) * 100</t>
        </is>
      </c>
      <c r="D3" s="169" t="n"/>
      <c r="E3" s="139" t="inlineStr">
        <is>
          <t>Cumplimiento de la legislacion legal aplicable</t>
        </is>
      </c>
      <c r="F3" s="169" t="n"/>
      <c r="G3" s="139" t="n"/>
      <c r="H3" s="169" t="n"/>
      <c r="I3" s="151" t="inlineStr">
        <is>
          <t xml:space="preserve">Porcentaje </t>
        </is>
      </c>
      <c r="J3" s="169" t="n"/>
      <c r="K3" s="141" t="n">
        <v>1</v>
      </c>
      <c r="L3" s="168" t="n"/>
      <c r="M3" s="169" t="n"/>
    </row>
    <row r="4" ht="22.5" customHeight="1" s="89">
      <c r="A4" s="142" t="inlineStr">
        <is>
          <t xml:space="preserve">TIPO DE INDICADOR </t>
        </is>
      </c>
      <c r="B4" s="168" t="n"/>
      <c r="C4" s="168" t="n"/>
      <c r="D4" s="168" t="n"/>
      <c r="E4" s="168" t="n"/>
      <c r="F4" s="169" t="n"/>
      <c r="G4" s="142" t="inlineStr">
        <is>
          <t>PERIORICIDAD</t>
        </is>
      </c>
      <c r="H4" s="168" t="n"/>
      <c r="I4" s="168" t="n"/>
      <c r="J4" s="168" t="n"/>
      <c r="K4" s="168" t="n"/>
      <c r="L4" s="168" t="n"/>
      <c r="M4" s="169" t="n"/>
    </row>
    <row r="5" ht="12.75" customFormat="1" customHeight="1" s="28">
      <c r="A5" s="145" t="inlineStr">
        <is>
          <t>ESTRUCTURA</t>
        </is>
      </c>
      <c r="B5" s="169" t="n"/>
      <c r="C5" s="145" t="inlineStr">
        <is>
          <t>PROCESO</t>
        </is>
      </c>
      <c r="D5" s="169" t="n"/>
      <c r="E5" s="145" t="inlineStr">
        <is>
          <t>RESULTADO</t>
        </is>
      </c>
      <c r="F5" s="169" t="n"/>
      <c r="G5" s="145" t="inlineStr">
        <is>
          <t>MENSUAL</t>
        </is>
      </c>
      <c r="H5" s="169" t="n"/>
      <c r="I5" s="145" t="inlineStr">
        <is>
          <t>SEMESTRAL</t>
        </is>
      </c>
      <c r="J5" s="169" t="n"/>
      <c r="K5" s="145" t="inlineStr">
        <is>
          <t>ANUAL</t>
        </is>
      </c>
      <c r="L5" s="168" t="n"/>
      <c r="M5" s="169" t="n"/>
    </row>
    <row r="6" ht="15" customHeight="1" s="89">
      <c r="A6" s="138" t="n"/>
      <c r="B6" s="176" t="n"/>
      <c r="C6" s="145" t="n"/>
      <c r="D6" s="176" t="n"/>
      <c r="E6" s="145" t="inlineStr">
        <is>
          <t>X</t>
        </is>
      </c>
      <c r="F6" s="176" t="n"/>
      <c r="G6" s="145" t="inlineStr">
        <is>
          <t>X</t>
        </is>
      </c>
      <c r="H6" s="176" t="n"/>
      <c r="I6" s="147" t="n"/>
      <c r="J6" s="176" t="n"/>
      <c r="K6" s="147" t="n"/>
      <c r="L6" s="177" t="n"/>
      <c r="M6" s="176" t="n"/>
    </row>
    <row r="7">
      <c r="A7" s="178" t="n"/>
      <c r="B7" s="179" t="n"/>
      <c r="C7" s="178" t="n"/>
      <c r="D7" s="179" t="n"/>
      <c r="E7" s="178" t="n"/>
      <c r="F7" s="179" t="n"/>
      <c r="G7" s="178" t="n"/>
      <c r="H7" s="179" t="n"/>
      <c r="I7" s="178" t="n"/>
      <c r="J7" s="179" t="n"/>
      <c r="K7" s="178" t="n"/>
      <c r="L7" s="180" t="n"/>
      <c r="M7" s="179" t="n"/>
    </row>
    <row r="8" customFormat="1" s="24">
      <c r="A8" s="148" t="inlineStr">
        <is>
          <t>VARIABLE</t>
        </is>
      </c>
      <c r="B8" s="30" t="inlineStr">
        <is>
          <t xml:space="preserve">ENERO </t>
        </is>
      </c>
      <c r="C8" s="30" t="inlineStr">
        <is>
          <t>FEBRERO</t>
        </is>
      </c>
      <c r="D8" s="30" t="inlineStr">
        <is>
          <t>MARZO</t>
        </is>
      </c>
      <c r="E8" s="30" t="inlineStr">
        <is>
          <t>ABRIL</t>
        </is>
      </c>
      <c r="F8" s="30" t="inlineStr">
        <is>
          <t>MAYO</t>
        </is>
      </c>
      <c r="G8" s="30" t="inlineStr">
        <is>
          <t>JUNIO</t>
        </is>
      </c>
      <c r="H8" s="30" t="inlineStr">
        <is>
          <t>JULIO</t>
        </is>
      </c>
      <c r="I8" s="30" t="inlineStr">
        <is>
          <t>AGOSTO</t>
        </is>
      </c>
      <c r="J8" s="30" t="inlineStr">
        <is>
          <t>SEPTIEMBRE</t>
        </is>
      </c>
      <c r="K8" s="30" t="inlineStr">
        <is>
          <t>OCTUBRE</t>
        </is>
      </c>
      <c r="L8" s="30" t="inlineStr">
        <is>
          <t>NOVIEMBRE</t>
        </is>
      </c>
      <c r="M8" s="30" t="inlineStr">
        <is>
          <t>DICIEMBRE</t>
        </is>
      </c>
    </row>
    <row r="9" ht="36.75" customFormat="1" customHeight="1" s="41">
      <c r="A9" s="139" t="inlineStr">
        <is>
          <t>Requisitos legales cumplidos</t>
        </is>
      </c>
      <c r="B9" s="151" t="n">
        <v>3</v>
      </c>
      <c r="C9" s="151" t="n">
        <v>3</v>
      </c>
      <c r="D9" s="151" t="n">
        <v>3</v>
      </c>
      <c r="E9" s="151" t="n">
        <v>3</v>
      </c>
      <c r="F9" s="151" t="n">
        <v>3</v>
      </c>
      <c r="G9" s="151" t="n">
        <v>0</v>
      </c>
      <c r="H9" s="151" t="n">
        <v>0</v>
      </c>
      <c r="I9" s="151" t="n">
        <v>0</v>
      </c>
      <c r="J9" s="151" t="n">
        <v>0</v>
      </c>
      <c r="K9" s="151" t="n">
        <v>0</v>
      </c>
      <c r="L9" s="151" t="n">
        <v>0</v>
      </c>
      <c r="M9" s="151" t="n">
        <v>0</v>
      </c>
    </row>
    <row r="10" ht="44.25" customFormat="1" customHeight="1" s="41">
      <c r="A10" s="139" t="inlineStr">
        <is>
          <t>Requisitos legales aplicables</t>
        </is>
      </c>
      <c r="B10" s="151" t="n">
        <v>3</v>
      </c>
      <c r="C10" s="151" t="n">
        <v>3</v>
      </c>
      <c r="D10" s="151" t="n">
        <v>3</v>
      </c>
      <c r="E10" s="151" t="n">
        <v>3</v>
      </c>
      <c r="F10" s="151" t="n">
        <v>3</v>
      </c>
      <c r="G10" s="151" t="n">
        <v>0</v>
      </c>
      <c r="H10" s="151" t="n">
        <v>0</v>
      </c>
      <c r="I10" s="151" t="n">
        <v>0</v>
      </c>
      <c r="J10" s="151" t="n">
        <v>0</v>
      </c>
      <c r="K10" s="151" t="n">
        <v>0</v>
      </c>
      <c r="L10" s="151" t="n">
        <v>0</v>
      </c>
      <c r="M10" s="151" t="n">
        <v>0</v>
      </c>
    </row>
    <row r="11" ht="41.25" customFormat="1" customHeight="1" s="24">
      <c r="A11" s="45" t="inlineStr">
        <is>
          <t xml:space="preserve">Requisitos legales cumplidos </t>
        </is>
      </c>
      <c r="B11" s="74">
        <f>(B9/B10)*100%</f>
        <v/>
      </c>
      <c r="C11" s="65">
        <f>(C9/C10)*100%</f>
        <v/>
      </c>
      <c r="D11" s="65">
        <f>(D9/D10)*100%</f>
        <v/>
      </c>
      <c r="E11" s="65">
        <f>(E9/E10)*100%</f>
        <v/>
      </c>
      <c r="F11" s="65">
        <f>(F9/F10)*100%</f>
        <v/>
      </c>
      <c r="G11" s="65">
        <f>G9/G10*100</f>
        <v/>
      </c>
      <c r="H11" s="65">
        <f>H9/H10*100</f>
        <v/>
      </c>
      <c r="I11" s="65">
        <f>I9/I10*100</f>
        <v/>
      </c>
      <c r="J11" s="65">
        <f>J9/J10*100</f>
        <v/>
      </c>
      <c r="K11" s="65">
        <f>K9/K10*100</f>
        <v/>
      </c>
      <c r="L11" s="65">
        <f>L9/L10*100</f>
        <v/>
      </c>
      <c r="M11" s="65">
        <f>M9/M10*100</f>
        <v/>
      </c>
    </row>
    <row r="12"/>
    <row r="13"/>
    <row r="14"/>
    <row r="15"/>
    <row r="16"/>
    <row r="17"/>
    <row r="18"/>
    <row r="19"/>
    <row r="20">
      <c r="I20" s="100" t="n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mergeCells count="25">
    <mergeCell ref="E6:F7"/>
    <mergeCell ref="G2:H2"/>
    <mergeCell ref="G6:H7"/>
    <mergeCell ref="I2:J2"/>
    <mergeCell ref="C5:D5"/>
    <mergeCell ref="G4:M4"/>
    <mergeCell ref="E5:F5"/>
    <mergeCell ref="K6:M7"/>
    <mergeCell ref="K2:M2"/>
    <mergeCell ref="A4:F4"/>
    <mergeCell ref="G3:H3"/>
    <mergeCell ref="I3:J3"/>
    <mergeCell ref="A1:M1"/>
    <mergeCell ref="C2:D2"/>
    <mergeCell ref="C6:D7"/>
    <mergeCell ref="I6:J7"/>
    <mergeCell ref="E2:F2"/>
    <mergeCell ref="A5:B5"/>
    <mergeCell ref="G5:H5"/>
    <mergeCell ref="I5:J5"/>
    <mergeCell ref="K3:M3"/>
    <mergeCell ref="K5:M5"/>
    <mergeCell ref="A6:B7"/>
    <mergeCell ref="C3:D3"/>
    <mergeCell ref="E3:F3"/>
  </mergeCells>
  <pageMargins left="0.7" right="0.7" top="0.75" bottom="0.75" header="0.511805555555555" footer="0.511805555555555"/>
  <pageSetup orientation="portrait" firstPageNumber="0" horizontalDpi="300" verticalDpi="300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60"/>
  <sheetViews>
    <sheetView tabSelected="1" topLeftCell="A4" zoomScale="82" zoomScaleNormal="82" workbookViewId="0">
      <selection activeCell="M11" sqref="M11"/>
    </sheetView>
  </sheetViews>
  <sheetFormatPr baseColWidth="10" defaultColWidth="9.140625" defaultRowHeight="15"/>
  <cols>
    <col width="21.85546875" customWidth="1" style="24" min="1" max="1"/>
    <col width="14.5703125" customWidth="1" style="24" min="2" max="2"/>
    <col width="13.28515625" customWidth="1" style="24" min="3" max="3"/>
    <col width="14.5703125" customWidth="1" style="24" min="4" max="4"/>
    <col width="14.140625" customWidth="1" style="24" min="5" max="5"/>
    <col width="13.7109375" customWidth="1" style="24" min="6" max="6"/>
    <col width="13.28515625" customWidth="1" style="24" min="7" max="7"/>
    <col width="13.140625" customWidth="1" style="24" min="8" max="8"/>
    <col width="13.42578125" customWidth="1" style="24" min="9" max="9"/>
    <col width="14.5703125" customWidth="1" style="24" min="10" max="10"/>
    <col width="11.140625" customWidth="1" style="24" min="11" max="11"/>
    <col width="12.140625" customWidth="1" style="24" min="12" max="12"/>
    <col width="14" customWidth="1" style="24" min="13" max="13"/>
    <col width="9.140625" customWidth="1" style="24" min="14" max="1023"/>
    <col width="9.140625" customWidth="1" style="23" min="1024" max="1025"/>
    <col width="9.140625" customWidth="1" style="23" min="1026" max="16384"/>
  </cols>
  <sheetData>
    <row r="1" ht="41.25" customHeight="1" s="89">
      <c r="A1" s="192" t="inlineStr">
        <is>
          <t>FICHA TÉCNICA</t>
        </is>
      </c>
      <c r="B1" s="168" t="n"/>
      <c r="C1" s="168" t="n"/>
      <c r="D1" s="168" t="n"/>
      <c r="E1" s="168" t="n"/>
      <c r="F1" s="168" t="n"/>
      <c r="G1" s="168" t="n"/>
      <c r="H1" s="168" t="n"/>
      <c r="I1" s="168" t="n"/>
      <c r="J1" s="168" t="n"/>
      <c r="K1" s="168" t="n"/>
      <c r="L1" s="168" t="n"/>
      <c r="M1" s="169" t="n"/>
    </row>
    <row r="2" ht="24" customHeight="1" s="89">
      <c r="A2" s="138" t="inlineStr">
        <is>
          <t xml:space="preserve">NOMBRE DEL INDICADOR </t>
        </is>
      </c>
      <c r="B2" s="138" t="inlineStr">
        <is>
          <t xml:space="preserve">TIPO INDICADOR </t>
        </is>
      </c>
      <c r="C2" s="138" t="inlineStr">
        <is>
          <t xml:space="preserve">FORMULA DE INDICADOR </t>
        </is>
      </c>
      <c r="D2" s="169" t="n"/>
      <c r="E2" s="138" t="inlineStr">
        <is>
          <t>DEFINICIÓN</t>
        </is>
      </c>
      <c r="F2" s="169" t="n"/>
      <c r="G2" s="138" t="inlineStr">
        <is>
          <t>INTERPRETACIÓN</t>
        </is>
      </c>
      <c r="H2" s="169" t="n"/>
      <c r="I2" s="138" t="inlineStr">
        <is>
          <t>UNIDAD DE MEDIDA</t>
        </is>
      </c>
      <c r="J2" s="169" t="n"/>
      <c r="K2" s="138" t="inlineStr">
        <is>
          <t>META</t>
        </is>
      </c>
      <c r="L2" s="168" t="n"/>
      <c r="M2" s="169" t="n"/>
    </row>
    <row r="3" ht="173.25" customHeight="1" s="89">
      <c r="A3" s="139" t="inlineStr">
        <is>
          <t>Evaluaciones Ocupacionales</t>
        </is>
      </c>
      <c r="B3" s="151" t="inlineStr">
        <is>
          <t>Resultado</t>
        </is>
      </c>
      <c r="C3" s="139" t="inlineStr">
        <is>
          <t>Nº de evaluaciones ocupacionales ejecutadas / Nº evaluaciones ocupacionales programadas*100</t>
        </is>
      </c>
      <c r="D3" s="169" t="n"/>
      <c r="E3" s="139" t="inlineStr">
        <is>
          <t xml:space="preserve">Cumplimiento de evaluaciones ocupacionales </t>
        </is>
      </c>
      <c r="F3" s="169" t="n"/>
      <c r="G3" s="139" t="inlineStr">
        <is>
          <t>100% de evaluaciones ocupacionales ejecutadas en un periodo 2026</t>
        </is>
      </c>
      <c r="H3" s="169" t="n"/>
      <c r="I3" s="151" t="inlineStr">
        <is>
          <t xml:space="preserve">Porcentaje </t>
        </is>
      </c>
      <c r="J3" s="169" t="n"/>
      <c r="K3" s="141" t="n">
        <v>1</v>
      </c>
      <c r="L3" s="168" t="n"/>
      <c r="M3" s="169" t="n"/>
    </row>
    <row r="4" ht="22.5" customHeight="1" s="89">
      <c r="A4" s="142" t="inlineStr">
        <is>
          <t xml:space="preserve">TIPO DE INDICADOR </t>
        </is>
      </c>
      <c r="B4" s="168" t="n"/>
      <c r="C4" s="168" t="n"/>
      <c r="D4" s="168" t="n"/>
      <c r="E4" s="168" t="n"/>
      <c r="F4" s="169" t="n"/>
      <c r="G4" s="142" t="inlineStr">
        <is>
          <t>PERIORICIDAD</t>
        </is>
      </c>
      <c r="H4" s="168" t="n"/>
      <c r="I4" s="168" t="n"/>
      <c r="J4" s="168" t="n"/>
      <c r="K4" s="168" t="n"/>
      <c r="L4" s="168" t="n"/>
      <c r="M4" s="169" t="n"/>
    </row>
    <row r="5" ht="12.75" customFormat="1" customHeight="1" s="28">
      <c r="A5" s="145" t="inlineStr">
        <is>
          <t>ESTRUCTURA</t>
        </is>
      </c>
      <c r="B5" s="169" t="n"/>
      <c r="C5" s="145" t="inlineStr">
        <is>
          <t>PROCESO</t>
        </is>
      </c>
      <c r="D5" s="169" t="n"/>
      <c r="E5" s="145" t="inlineStr">
        <is>
          <t>RESULTADO</t>
        </is>
      </c>
      <c r="F5" s="169" t="n"/>
      <c r="G5" s="145" t="inlineStr">
        <is>
          <t>MENSUAL</t>
        </is>
      </c>
      <c r="H5" s="169" t="n"/>
      <c r="I5" s="145" t="inlineStr">
        <is>
          <t>SEMESTRAL</t>
        </is>
      </c>
      <c r="J5" s="169" t="n"/>
      <c r="K5" s="145" t="inlineStr">
        <is>
          <t>ANUAL</t>
        </is>
      </c>
      <c r="L5" s="168" t="n"/>
      <c r="M5" s="169" t="n"/>
    </row>
    <row r="6">
      <c r="A6" s="138" t="n"/>
      <c r="B6" s="176" t="n"/>
      <c r="C6" s="145" t="n"/>
      <c r="D6" s="176" t="n"/>
      <c r="E6" s="145" t="inlineStr">
        <is>
          <t>X</t>
        </is>
      </c>
      <c r="F6" s="176" t="n"/>
      <c r="G6" s="145" t="inlineStr">
        <is>
          <t>X</t>
        </is>
      </c>
      <c r="H6" s="176" t="n"/>
      <c r="I6" s="147" t="n"/>
      <c r="J6" s="176" t="n"/>
      <c r="K6" s="147" t="n"/>
      <c r="L6" s="177" t="n"/>
      <c r="M6" s="176" t="n"/>
    </row>
    <row r="7">
      <c r="A7" s="178" t="n"/>
      <c r="B7" s="179" t="n"/>
      <c r="C7" s="178" t="n"/>
      <c r="D7" s="179" t="n"/>
      <c r="E7" s="178" t="n"/>
      <c r="F7" s="179" t="n"/>
      <c r="G7" s="178" t="n"/>
      <c r="H7" s="179" t="n"/>
      <c r="I7" s="178" t="n"/>
      <c r="J7" s="179" t="n"/>
      <c r="K7" s="178" t="n"/>
      <c r="L7" s="180" t="n"/>
      <c r="M7" s="179" t="n"/>
    </row>
    <row r="8" customFormat="1" s="24">
      <c r="A8" s="148" t="inlineStr">
        <is>
          <t>VARIABLE</t>
        </is>
      </c>
      <c r="B8" s="30" t="inlineStr">
        <is>
          <t xml:space="preserve">ENERO </t>
        </is>
      </c>
      <c r="C8" s="30" t="inlineStr">
        <is>
          <t>FEBRERO</t>
        </is>
      </c>
      <c r="D8" s="30" t="inlineStr">
        <is>
          <t>MARZO</t>
        </is>
      </c>
      <c r="E8" s="30" t="inlineStr">
        <is>
          <t>ABRIL</t>
        </is>
      </c>
      <c r="F8" s="30" t="inlineStr">
        <is>
          <t>MAYO</t>
        </is>
      </c>
      <c r="G8" s="30" t="inlineStr">
        <is>
          <t>JUNIO</t>
        </is>
      </c>
      <c r="H8" s="30" t="inlineStr">
        <is>
          <t>JULIO</t>
        </is>
      </c>
      <c r="I8" s="30" t="inlineStr">
        <is>
          <t>AGOSTO</t>
        </is>
      </c>
      <c r="J8" s="30" t="inlineStr">
        <is>
          <t>SEPTIEMBRE</t>
        </is>
      </c>
      <c r="K8" s="30" t="inlineStr">
        <is>
          <t>OCTUBRE</t>
        </is>
      </c>
      <c r="L8" s="30" t="inlineStr">
        <is>
          <t>NOVIEMBRE</t>
        </is>
      </c>
      <c r="M8" s="30" t="inlineStr">
        <is>
          <t>DICIEMBRE</t>
        </is>
      </c>
    </row>
    <row r="9" ht="36.75" customFormat="1" customHeight="1" s="41">
      <c r="A9" s="139" t="inlineStr">
        <is>
          <t xml:space="preserve">Evaluaciones ocupacionales ejecutadas </t>
        </is>
      </c>
      <c r="B9" s="149" t="n">
        <v>0</v>
      </c>
      <c r="C9" s="149" t="n">
        <v>0</v>
      </c>
      <c r="D9" s="149" t="n">
        <v>3</v>
      </c>
      <c r="E9" s="149" t="n">
        <v>1</v>
      </c>
      <c r="F9" s="149" t="n">
        <v>1</v>
      </c>
      <c r="G9" s="149" t="n">
        <v>0</v>
      </c>
      <c r="H9" s="149" t="n">
        <v>0</v>
      </c>
      <c r="I9" s="149" t="n">
        <v>0</v>
      </c>
      <c r="J9" s="149" t="n">
        <v>0</v>
      </c>
      <c r="K9" s="149" t="n">
        <v>1</v>
      </c>
      <c r="L9" s="149" t="n">
        <v>1</v>
      </c>
      <c r="M9" s="149" t="n">
        <v>2</v>
      </c>
    </row>
    <row r="10" ht="44.25" customFormat="1" customHeight="1" s="41">
      <c r="A10" s="139" t="inlineStr">
        <is>
          <t xml:space="preserve">Evaluaciones ocupacionales programadas </t>
        </is>
      </c>
      <c r="B10" s="149" t="n">
        <v>0</v>
      </c>
      <c r="C10" s="62" t="n">
        <v>0</v>
      </c>
      <c r="D10" s="62" t="n">
        <v>3</v>
      </c>
      <c r="E10" s="149" t="n">
        <v>1</v>
      </c>
      <c r="F10" s="149" t="n">
        <v>1</v>
      </c>
      <c r="G10" s="149" t="n">
        <v>0</v>
      </c>
      <c r="H10" s="149" t="n">
        <v>0</v>
      </c>
      <c r="I10" s="149" t="n">
        <v>0</v>
      </c>
      <c r="J10" s="149" t="n">
        <v>0</v>
      </c>
      <c r="K10" s="149" t="n">
        <v>1</v>
      </c>
      <c r="L10" s="149" t="n">
        <v>1</v>
      </c>
      <c r="M10" s="149" t="n">
        <v>2</v>
      </c>
    </row>
    <row r="11" ht="41.25" customFormat="1" customHeight="1" s="24">
      <c r="A11" s="45" t="inlineStr">
        <is>
          <t xml:space="preserve">Evaluaciones Ocupacionales Realizadas </t>
        </is>
      </c>
      <c r="B11" s="65">
        <f>B9*100%/B10</f>
        <v/>
      </c>
      <c r="C11" s="65">
        <f>C9*100%/C10</f>
        <v/>
      </c>
      <c r="D11" s="65">
        <f>(D9/D10)*100%</f>
        <v/>
      </c>
      <c r="E11" s="65">
        <f>E9*100%/E10</f>
        <v/>
      </c>
      <c r="F11" s="65">
        <f>F9*100%/F10</f>
        <v/>
      </c>
      <c r="G11" s="65">
        <f>G9*100%/G10</f>
        <v/>
      </c>
      <c r="H11" s="65">
        <f>H9*100%/H10</f>
        <v/>
      </c>
      <c r="I11" s="65">
        <f>I9*100%/I10</f>
        <v/>
      </c>
      <c r="J11" s="65">
        <f>J9*100%/J10</f>
        <v/>
      </c>
      <c r="K11" s="65">
        <f>K9*100%/K10</f>
        <v/>
      </c>
      <c r="L11" s="65">
        <f>L9*100%/L10</f>
        <v/>
      </c>
      <c r="M11" s="65">
        <f>M9*100%/M10</f>
        <v/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mergeCells count="25">
    <mergeCell ref="E6:F7"/>
    <mergeCell ref="G2:H2"/>
    <mergeCell ref="G6:H7"/>
    <mergeCell ref="I2:J2"/>
    <mergeCell ref="C5:D5"/>
    <mergeCell ref="G4:M4"/>
    <mergeCell ref="E5:F5"/>
    <mergeCell ref="K6:M7"/>
    <mergeCell ref="K2:M2"/>
    <mergeCell ref="A4:F4"/>
    <mergeCell ref="G3:H3"/>
    <mergeCell ref="I3:J3"/>
    <mergeCell ref="A1:M1"/>
    <mergeCell ref="C2:D2"/>
    <mergeCell ref="C6:D7"/>
    <mergeCell ref="I6:J7"/>
    <mergeCell ref="E2:F2"/>
    <mergeCell ref="A5:B5"/>
    <mergeCell ref="G5:H5"/>
    <mergeCell ref="I5:J5"/>
    <mergeCell ref="K3:M3"/>
    <mergeCell ref="K5:M5"/>
    <mergeCell ref="A6:B7"/>
    <mergeCell ref="C3:D3"/>
    <mergeCell ref="E3:F3"/>
  </mergeCells>
  <pageMargins left="0.7" right="0.7" top="0.75" bottom="0.75" header="0.511805555555555" footer="0.511805555555555"/>
  <pageSetup orientation="portrait" firstPageNumber="0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maurnalo</dc:creator>
  <dc:language xmlns:dc="http://purl.org/dc/elements/1.1/">es-CO</dc:language>
  <dcterms:created xmlns:dcterms="http://purl.org/dc/terms/" xmlns:xsi="http://www.w3.org/2001/XMLSchema-instance" xsi:type="dcterms:W3CDTF">2015-03-05T15:17:20Z</dcterms:created>
  <dcterms:modified xmlns:dcterms="http://purl.org/dc/terms/" xmlns:xsi="http://www.w3.org/2001/XMLSchema-instance" xsi:type="dcterms:W3CDTF">2026-05-27T17:39:36Z</dcterms:modified>
  <cp:lastModifiedBy>admin</cp:lastModifiedBy>
  <cp:revision>11</cp:revision>
  <cp:lastPrinted>2017-10-10T20:19:14Z</cp:lastPrinted>
</cp:coreProperties>
</file>

<file path=docProps/custom.xml><?xml version="1.0" encoding="utf-8"?>
<Properties xmlns="http://schemas.openxmlformats.org/officeDocument/2006/custom-properties">
  <property name="AppVersion" fmtid="{D5CDD505-2E9C-101B-9397-08002B2CF9AE}" pid="2">
    <vt:lpwstr xmlns:vt="http://schemas.openxmlformats.org/officeDocument/2006/docPropsVTypes">15.0300</vt:lpwstr>
  </property>
  <property name="Company" fmtid="{D5CDD505-2E9C-101B-9397-08002B2CF9AE}" pid="3">
    <vt:lpwstr xmlns:vt="http://schemas.openxmlformats.org/officeDocument/2006/docPropsVTypes">Suramericana de Seguros</vt:lpwstr>
  </property>
  <property name="DocSecurity" fmtid="{D5CDD505-2E9C-101B-9397-08002B2CF9AE}" pid="4">
    <vt:i4 xmlns:vt="http://schemas.openxmlformats.org/officeDocument/2006/docPropsVTypes">0</vt:i4>
  </property>
  <property name="HyperlinksChanged" fmtid="{D5CDD505-2E9C-101B-9397-08002B2CF9AE}" pid="5">
    <vt:bool xmlns:vt="http://schemas.openxmlformats.org/officeDocument/2006/docPropsVTypes">0</vt:bool>
  </property>
  <property name="LinksUpToDate" fmtid="{D5CDD505-2E9C-101B-9397-08002B2CF9AE}" pid="6">
    <vt:bool xmlns:vt="http://schemas.openxmlformats.org/officeDocument/2006/docPropsVTypes">0</vt:bool>
  </property>
  <property name="ScaleCrop" fmtid="{D5CDD505-2E9C-101B-9397-08002B2CF9AE}" pid="7">
    <vt:bool xmlns:vt="http://schemas.openxmlformats.org/officeDocument/2006/docPropsVTypes">0</vt:bool>
  </property>
  <property name="ShareDoc" fmtid="{D5CDD505-2E9C-101B-9397-08002B2CF9AE}" pid="8">
    <vt:bool xmlns:vt="http://schemas.openxmlformats.org/officeDocument/2006/docPropsVTypes">0</vt:bool>
  </property>
</Properties>
</file>