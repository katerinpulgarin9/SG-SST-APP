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DECRETO 1072" sheetId="1" state="visible" r:id="rId1"/>
    <sheet xmlns:r="http://schemas.openxmlformats.org/officeDocument/2006/relationships" name="RESOLUCIÓN 0312" sheetId="2" state="visible" r:id="rId2"/>
    <sheet xmlns:r="http://schemas.openxmlformats.org/officeDocument/2006/relationships" name="POLÍTICA SST" sheetId="3" state="visible" r:id="rId3"/>
    <sheet xmlns:r="http://schemas.openxmlformats.org/officeDocument/2006/relationships" name="OBJETIVOS" sheetId="4" state="visible" r:id="rId4"/>
    <sheet xmlns:r="http://schemas.openxmlformats.org/officeDocument/2006/relationships" name="CONTROL DE CAMBIOS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10"/>
    </font>
    <font>
      <name val="Times New Roman"/>
      <family val="1"/>
      <b val="1"/>
      <color theme="1"/>
      <sz val="18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0"/>
      <sz val="16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0"/>
      <sz val="16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22"/>
      <scheme val="minor"/>
    </font>
    <font>
      <b val="1"/>
      <color rgb="00FFFFFF"/>
      <sz val="8"/>
    </font>
    <font>
      <b val="1"/>
      <color rgb="00FFFFFF"/>
      <sz val="9"/>
    </font>
    <font>
      <b val="1"/>
      <color rgb="00FFFFFF"/>
      <sz val="11"/>
    </font>
    <font>
      <b val="1"/>
      <color rgb="00FFFFFF"/>
      <sz val="16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1" fillId="0" borderId="0"/>
    <xf numFmtId="41" fontId="1" fillId="0" borderId="0"/>
    <xf numFmtId="9" fontId="1" fillId="0" borderId="0"/>
    <xf numFmtId="0" fontId="3" fillId="0" borderId="0"/>
    <xf numFmtId="43" fontId="1" fillId="0" borderId="0"/>
  </cellStyleXfs>
  <cellXfs count="209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2">
      <alignment horizontal="center" vertical="center" wrapText="1"/>
    </xf>
    <xf numFmtId="0" fontId="2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9" fontId="2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9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9" fontId="0" fillId="3" borderId="0" pivotButton="0" quotePrefix="0" xfId="0"/>
    <xf numFmtId="0" fontId="5" fillId="6" borderId="0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1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3" borderId="12" applyAlignment="1" pivotButton="0" quotePrefix="0" xfId="0">
      <alignment horizontal="left" vertical="center" wrapText="1"/>
    </xf>
    <xf numFmtId="0" fontId="0" fillId="0" borderId="0" pivotButton="0" quotePrefix="0" xfId="0"/>
    <xf numFmtId="1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3" fillId="3" borderId="1" applyAlignment="1" pivotButton="0" quotePrefix="0" xfId="0">
      <alignment wrapText="1"/>
    </xf>
    <xf numFmtId="0" fontId="13" fillId="0" borderId="1" applyAlignment="1" pivotButton="0" quotePrefix="0" xfId="0">
      <alignment horizontal="left" wrapText="1"/>
    </xf>
    <xf numFmtId="0" fontId="13" fillId="0" borderId="1" applyAlignment="1" pivotButton="0" quotePrefix="0" xfId="0">
      <alignment wrapText="1"/>
    </xf>
    <xf numFmtId="9" fontId="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9" fontId="0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/>
    </xf>
    <xf numFmtId="0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4" borderId="3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0" fontId="0" fillId="4" borderId="1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6" borderId="13" applyAlignment="1" pivotButton="0" quotePrefix="0" xfId="0">
      <alignment horizontal="center"/>
    </xf>
    <xf numFmtId="0" fontId="5" fillId="6" borderId="14" applyAlignment="1" pivotButton="0" quotePrefix="0" xfId="0">
      <alignment horizontal="center"/>
    </xf>
    <xf numFmtId="0" fontId="5" fillId="5" borderId="13" applyAlignment="1" pivotButton="0" quotePrefix="0" xfId="0">
      <alignment horizontal="center"/>
    </xf>
    <xf numFmtId="0" fontId="5" fillId="5" borderId="14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9" fontId="0" fillId="0" borderId="2" applyAlignment="1" pivotButton="0" quotePrefix="0" xfId="2">
      <alignment horizontal="center" vertical="center"/>
    </xf>
    <xf numFmtId="9" fontId="0" fillId="0" borderId="5" applyAlignment="1" pivotButton="0" quotePrefix="0" xfId="2">
      <alignment horizontal="center" vertical="center"/>
    </xf>
    <xf numFmtId="9" fontId="0" fillId="0" borderId="3" applyAlignment="1" pivotButton="0" quotePrefix="0" xfId="2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1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9" fontId="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9" fontId="2" fillId="0" borderId="2" applyAlignment="1" pivotButton="0" quotePrefix="0" xfId="0">
      <alignment horizontal="center" vertical="center" wrapText="1"/>
    </xf>
    <xf numFmtId="9" fontId="2" fillId="0" borderId="5" applyAlignment="1" pivotButton="0" quotePrefix="0" xfId="0">
      <alignment horizontal="center" vertical="center" wrapText="1"/>
    </xf>
    <xf numFmtId="9" fontId="2" fillId="0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wrapText="1"/>
    </xf>
    <xf numFmtId="0" fontId="2" fillId="3" borderId="5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4">
      <alignment horizontal="center" vertical="center"/>
    </xf>
    <xf numFmtId="0" fontId="10" fillId="3" borderId="1" applyAlignment="1" pivotButton="0" quotePrefix="0" xfId="4">
      <alignment horizontal="left" vertical="center" wrapText="1"/>
    </xf>
    <xf numFmtId="9" fontId="10" fillId="3" borderId="1" applyAlignment="1" pivotButton="0" quotePrefix="0" xfId="4">
      <alignment horizontal="center" vertical="center"/>
    </xf>
    <xf numFmtId="0" fontId="10" fillId="3" borderId="3" applyAlignment="1" pivotButton="0" quotePrefix="0" xfId="4">
      <alignment horizontal="center" vertical="center"/>
    </xf>
    <xf numFmtId="9" fontId="10" fillId="3" borderId="1" applyAlignment="1" pivotButton="0" quotePrefix="0" xfId="2">
      <alignment horizontal="center" vertical="center"/>
    </xf>
    <xf numFmtId="0" fontId="8" fillId="6" borderId="10" applyAlignment="1" pivotButton="0" quotePrefix="0" xfId="0">
      <alignment horizontal="center" vertical="center" wrapText="1"/>
    </xf>
    <xf numFmtId="0" fontId="8" fillId="6" borderId="12" applyAlignment="1" pivotButton="0" quotePrefix="0" xfId="0">
      <alignment horizontal="center" vertical="center" wrapText="1"/>
    </xf>
    <xf numFmtId="0" fontId="8" fillId="7" borderId="10" applyAlignment="1" pivotButton="0" quotePrefix="0" xfId="0">
      <alignment horizontal="center" vertical="center" wrapText="1"/>
    </xf>
    <xf numFmtId="0" fontId="8" fillId="7" borderId="12" applyAlignment="1" pivotButton="0" quotePrefix="0" xfId="0">
      <alignment horizontal="center" vertical="center" wrapText="1"/>
    </xf>
    <xf numFmtId="9" fontId="2" fillId="0" borderId="2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/>
    </xf>
    <xf numFmtId="0" fontId="5" fillId="6" borderId="11" applyAlignment="1" pivotButton="0" quotePrefix="0" xfId="0">
      <alignment horizontal="center"/>
    </xf>
    <xf numFmtId="0" fontId="5" fillId="6" borderId="12" applyAlignment="1" pivotButton="0" quotePrefix="0" xfId="0">
      <alignment horizontal="center"/>
    </xf>
    <xf numFmtId="2" fontId="10" fillId="3" borderId="1" applyAlignment="1" pivotButton="0" quotePrefix="0" xfId="4">
      <alignment horizontal="center" vertical="center"/>
    </xf>
    <xf numFmtId="0" fontId="2" fillId="0" borderId="5" applyAlignment="1" pivotButton="0" quotePrefix="0" xfId="1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4">
      <alignment horizontal="center" vertical="center"/>
    </xf>
    <xf numFmtId="0" fontId="10" fillId="8" borderId="1" applyAlignment="1" pivotButton="0" quotePrefix="0" xfId="4">
      <alignment horizontal="center" vertical="top" wrapText="1"/>
    </xf>
    <xf numFmtId="2" fontId="10" fillId="8" borderId="1" applyAlignment="1" pivotButton="0" quotePrefix="0" xfId="4">
      <alignment horizontal="center" vertical="center"/>
    </xf>
    <xf numFmtId="0" fontId="10" fillId="8" borderId="1" applyAlignment="1" pivotButton="0" quotePrefix="0" xfId="4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10" fillId="3" borderId="1" applyAlignment="1" pivotButton="0" quotePrefix="0" xfId="4">
      <alignment horizontal="center" vertical="center" wrapText="1"/>
    </xf>
    <xf numFmtId="9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4" fillId="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vertical="center" wrapText="1"/>
    </xf>
    <xf numFmtId="0" fontId="16" fillId="9" borderId="1" applyAlignment="1" pivotButton="0" quotePrefix="0" xfId="0">
      <alignment wrapText="1"/>
    </xf>
    <xf numFmtId="0" fontId="17" fillId="9" borderId="1" applyAlignment="1" pivotButton="0" quotePrefix="0" xfId="0">
      <alignment horizontal="center" vertical="center"/>
    </xf>
    <xf numFmtId="10" fontId="17" fillId="9" borderId="1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8" fillId="9" borderId="6" applyAlignment="1" pivotButton="0" quotePrefix="0" xfId="0">
      <alignment horizontal="center" vertical="center"/>
    </xf>
    <xf numFmtId="0" fontId="17" fillId="9" borderId="4" applyAlignment="1" pivotButton="0" quotePrefix="0" xfId="0">
      <alignment horizontal="center"/>
    </xf>
    <xf numFmtId="0" fontId="17" fillId="9" borderId="0" pivotButton="0" quotePrefix="0" xfId="0"/>
    <xf numFmtId="9" fontId="17" fillId="9" borderId="0" pivotButton="0" quotePrefix="0" xfId="0"/>
    <xf numFmtId="0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/>
    </xf>
  </cellXfs>
  <cellStyles count="5">
    <cellStyle name="Normal" xfId="0" builtinId="0"/>
    <cellStyle name="Millares [0]" xfId="1" builtinId="6"/>
    <cellStyle name="Porcentaje" xfId="2" builtinId="5"/>
    <cellStyle name="Normal 2" xfId="3"/>
    <cellStyle name="Millares" xfId="4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 b="1"/>
              <a:t>FRECUENCIA DE ACCIDENTALIDAD 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ACCIDENTES EN EL MES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('RESOLUCIÓN 0312'!$K$6,'RESOLUCIÓN 0312'!$P$6,'RESOLUCIÓN 0312'!$U$6,'RESOLUCIÓN 0312'!$Z$6,'RESOLUCIÓN 0312'!$AE$6,'RESOLUCIÓN 0312'!$AJ$6,'RESOLUCIÓN 0312'!$AO$6,'RESOLUCIÓN 0312'!$AT$6,'RESOLUCIÓN 0312'!$AY$6,'RESOLUCIÓN 0312'!$BD$6,'RESOLUCIÓN 0312'!$BI$6,'RESOLUCIÓN 0312'!$BN$6)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('RESOLUCIÓN 0312'!$J$7,'RESOLUCIÓN 0312'!$O$7,'RESOLUCIÓN 0312'!$T$7,'RESOLUCIÓN 0312'!$Y$7,'RESOLUCIÓN 0312'!$AD$7,'RESOLUCIÓN 0312'!$AI$7,'RESOLUCIÓN 0312'!$AN$7,'RESOLUCIÓN 0312'!$AS$7,'RESOLUCIÓN 0312'!$AX$7,'RESOLUCIÓN 0312'!$BC$7,'RESOLUCIÓN 0312'!$BH$7,'RESOLUCIÓN 0312'!$BM$7)</f>
              <numCache>
                <formatCode>General</formatCode>
                <ptCount val="12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TRABAJADORES EN EL MES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0312'!$J$8,'RESOLUCIÓN 0312'!$O$8,'RESOLUCIÓN 0312'!$T$8,'RESOLUCIÓN 0312'!$Y$8,'RESOLUCIÓN 0312'!$AD$8,'RESOLUCIÓN 0312'!$AI$8,'RESOLUCIÓN 0312'!$AN$8,'RESOLUCIÓN 0312'!$AS$8,'RESOLUCIÓN 0312'!$AX$8,'RESOLUCIÓN 0312'!$BC$8,'RESOLUCIÓN 0312'!$BH$8,'RESOLUCIÓN 0312'!$BM$8)</f>
              <numCache>
                <formatCode>General</formatCode>
                <ptCount val="12"/>
                <pt idx="0">
                  <v>6</v>
                </pt>
                <pt idx="1">
                  <v>5</v>
                </pt>
                <pt idx="2">
                  <v>4</v>
                </pt>
                <pt idx="3">
                  <v>4</v>
                </pt>
                <pt idx="4">
                  <v>4</v>
                </pt>
                <pt idx="5">
                  <v>4</v>
                </pt>
                <pt idx="6">
                  <v>4</v>
                </pt>
                <pt idx="7">
                  <v>5</v>
                </pt>
                <pt idx="8">
                  <v>6</v>
                </pt>
                <pt idx="9">
                  <v>3</v>
                </pt>
                <pt idx="10">
                  <v>15</v>
                </pt>
                <pt idx="11">
                  <v>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298944"/>
        <axId val="211304832"/>
        <axId val="1000"/>
      </bar3DChart>
      <catAx>
        <axId val="2112989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04832"/>
        <crosses val="autoZero"/>
        <auto val="1"/>
        <lblAlgn val="ctr"/>
        <lblOffset val="100"/>
        <noMultiLvlLbl val="0"/>
      </catAx>
      <valAx>
        <axId val="2113048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298944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INCIDENCIA DE LA ENFERMEDAD LABORAL EN EL AÑO 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CASOS NUEVOS DE ENFERMEDAD LABORAL EN EL AÑO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0312'!$BM$56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TRABAJADORES PROMEDIO EN EL AÑO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0312'!$BM$57</f>
              <numCache>
                <formatCode>General</formatCode>
                <ptCount val="1"/>
                <pt idx="0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316096"/>
        <axId val="211321984"/>
        <axId val="1000"/>
      </bar3DChart>
      <catAx>
        <axId val="2113160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21984"/>
        <crosses val="autoZero"/>
        <auto val="1"/>
        <lblAlgn val="ctr"/>
        <lblOffset val="100"/>
        <noMultiLvlLbl val="0"/>
      </catAx>
      <valAx>
        <axId val="2113219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16096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PREVALENCIA</a:t>
            </a:r>
            <a:r>
              <a:rPr lang="es-CO" b="1" baseline="0"/>
              <a:t xml:space="preserve"> DE LA ENFERMEDAD LABORAL EN EL AÑO </a:t>
            </a:r>
            <a:r>
              <a:rPr lang="es-CO" b="1"/>
              <a:t>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CASOS NUEVOS Y ANTIGUOS DE ENFERMEDAD LABORAL EN EL AÑO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0312'!$BM$80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TRABAJADORES PROMEDIO EN EL AÑO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0312'!$BM$81</f>
              <numCache>
                <formatCode>General</formatCode>
                <ptCount val="1"/>
                <pt idx="0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345792"/>
        <axId val="211347328"/>
        <axId val="1000"/>
      </bar3DChart>
      <catAx>
        <axId val="2113457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47328"/>
        <crosses val="autoZero"/>
        <auto val="1"/>
        <lblAlgn val="ctr"/>
        <lblOffset val="100"/>
        <noMultiLvlLbl val="0"/>
      </catAx>
      <valAx>
        <axId val="211347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45792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 b="1"/>
              <a:t>PROPORCIÓN DE ACCIDENTES MORTALES EN EL AÑO 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ACCIDENTES MORTALES EN EL AÑO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0312'!$BM$32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NÚMERO DE ACCIDENTES EN EL AÑO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0312'!$BM$33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387904"/>
        <axId val="211389440"/>
        <axId val="1000"/>
      </bar3DChart>
      <catAx>
        <axId val="2113879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89440"/>
        <crosses val="autoZero"/>
        <auto val="1"/>
        <lblAlgn val="ctr"/>
        <lblOffset val="100"/>
        <noMultiLvlLbl val="0"/>
      </catAx>
      <valAx>
        <axId val="211389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87904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AUSENTISMO POR CAUSA MÉDICA 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NÚMERO DE DÍAS DE AUSENCIA POR AT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('RESOLUCIÓN 0312'!$K$101,'RESOLUCIÓN 0312'!$P$101,'RESOLUCIÓN 0312'!$U$101,'RESOLUCIÓN 0312'!$Z$101,'RESOLUCIÓN 0312'!$AE$101,'RESOLUCIÓN 0312'!$AJ$101,'RESOLUCIÓN 0312'!$AO$101,'RESOLUCIÓN 0312'!$AT$101,'RESOLUCIÓN 0312'!$AY$101,'RESOLUCIÓN 0312'!$BD$101,'RESOLUCIÓN 0312'!$BI$101,'RESOLUCIÓN 0312'!$BN$101)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('RESOLUCIÓN 0312'!$J$102,'RESOLUCIÓN 0312'!$O$102,'RESOLUCIÓN 0312'!$T$102,'RESOLUCIÓN 0312'!$Y$102,'RESOLUCIÓN 0312'!$AD$102,'RESOLUCIÓN 0312'!$AI$102,'RESOLUCIÓN 0312'!$AN$102,'RESOLUCIÓN 0312'!$AS$102,'RESOLUCIÓN 0312'!$AX$102,'RESOLUCIÓN 0312'!$BC$102,'RESOLUCIÓN 0312'!$BH$102,'RESOLUCIÓN 0312'!$BM$102)</f>
              <numCache>
                <formatCode>General</formatCode>
                <ptCount val="12"/>
                <pt idx="0">
                  <v>0</v>
                </pt>
                <pt idx="1">
                  <v>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60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NÚMERO DE DÍAS DE AUSENCIA POR EL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0312'!$J$103,'RESOLUCIÓN 0312'!$O$103,'RESOLUCIÓN 0312'!$T$103,'RESOLUCIÓN 0312'!$Y$103,'RESOLUCIÓN 0312'!$AD$103,'RESOLUCIÓN 0312'!$AI$103,'RESOLUCIÓN 0312'!$AN$103,'RESOLUCIÓN 0312'!$AS$103,'RESOLUCIÓN 0312'!$AX$103,'RESOLUCIÓN 0312'!$BC$103,'RESOLUCIÓN 0312'!$BH$103,'RESOLUCIÓN 0312'!$BM$103)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v>NÚMERO DE DÍAS DE AUSENCIA POR AC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0312'!$J$104,'RESOLUCIÓN 0312'!$O$104,'RESOLUCIÓN 0312'!$T$104,'RESOLUCIÓN 0312'!$Y$104,'RESOLUCIÓN 0312'!$AD$104,'RESOLUCIÓN 0312'!$AI$104,'RESOLUCIÓN 0312'!$AN$104,'RESOLUCIÓN 0312'!$AS$104,'RESOLUCIÓN 0312'!$AX$104,'RESOLUCIÓN 0312'!$BC$104,'RESOLUCIÓN 0312'!$BH$104,'RESOLUCIÓN 0312'!$BM$104)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3"/>
          <order val="3"/>
          <tx>
            <v>NÚMERO DE DÍAS DE AUSENCIA POR EC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0312'!$J$105,'RESOLUCIÓN 0312'!$O$105,'RESOLUCIÓN 0312'!$T$105,'RESOLUCIÓN 0312'!$Y$105,'RESOLUCIÓN 0312'!$AD$105,'RESOLUCIÓN 0312'!$AI$105,'RESOLUCIÓN 0312'!$AN$105,'RESOLUCIÓN 0312'!$AS$105,'RESOLUCIÓN 0312'!$AX$105,'RESOLUCIÓN 0312'!$BC$105,'RESOLUCIÓN 0312'!$BH$105,'RESOLUCIÓN 0312'!$BM$105)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4"/>
          <order val="4"/>
          <tx>
            <v>NÚMERO DE TRABAJADORES EN EL MES</v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0312'!$J$107,'RESOLUCIÓN 0312'!$O$107,'RESOLUCIÓN 0312'!$T$107,'RESOLUCIÓN 0312'!$Y$107,'RESOLUCIÓN 0312'!$AD$107,'RESOLUCIÓN 0312'!$AI$107,'RESOLUCIÓN 0312'!$AN$107,'RESOLUCIÓN 0312'!$AS$107,'RESOLUCIÓN 0312'!$AX$107,'RESOLUCIÓN 0312'!$BC$107,'RESOLUCIÓN 0312'!$BH$107,'RESOLUCIÓN 0312'!$BM$107)</f>
              <numCache>
                <formatCode>General</formatCode>
                <ptCount val="12"/>
                <pt idx="0">
                  <v>6</v>
                </pt>
                <pt idx="1">
                  <v>5</v>
                </pt>
                <pt idx="2">
                  <v>4</v>
                </pt>
                <pt idx="3">
                  <v>4</v>
                </pt>
                <pt idx="4">
                  <v>4</v>
                </pt>
                <pt idx="5">
                  <v>4</v>
                </pt>
                <pt idx="6">
                  <v>4</v>
                </pt>
                <pt idx="7">
                  <v>5</v>
                </pt>
                <pt idx="8">
                  <v>6</v>
                </pt>
                <pt idx="9">
                  <v>3</v>
                </pt>
                <pt idx="10">
                  <v>15</v>
                </pt>
                <pt idx="11">
                  <v>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445632"/>
        <axId val="211447168"/>
        <axId val="1000"/>
      </bar3DChart>
      <catAx>
        <axId val="211445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447168"/>
        <crosses val="autoZero"/>
        <auto val="1"/>
        <lblAlgn val="ctr"/>
        <lblOffset val="100"/>
        <noMultiLvlLbl val="0"/>
      </catAx>
      <valAx>
        <axId val="2114471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445632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SEVERIDAD DE ACCIDENTALIDAD - DÍAS PERDIDOS POR AT POR</a:t>
            </a:r>
            <a:r>
              <a:rPr lang="es-CO" b="1" baseline="0"/>
              <a:t xml:space="preserve"> INCAPACIDAD TEMPORAL 2023</a:t>
            </a:r>
            <a:endParaRPr lang="es-CO" b="1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NÚMERO DE DÍAS DE INCAPACIDAD POR AT EN EL MES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('RESOLUCIÓN 0312'!$K$131,'RESOLUCIÓN 0312'!$P$131,'RESOLUCIÓN 0312'!$U$131,'RESOLUCIÓN 0312'!$Z$131,'RESOLUCIÓN 0312'!$AE$131,'RESOLUCIÓN 0312'!$AJ$131,'RESOLUCIÓN 0312'!$AO$131,'RESOLUCIÓN 0312'!$AT$131,'RESOLUCIÓN 0312'!$AY$131,'RESOLUCIÓN 0312'!$BD$131,'RESOLUCIÓN 0312'!$BI$131,'RESOLUCIÓN 0312'!$BN$131)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('RESOLUCIÓN 0312'!$J$132,'RESOLUCIÓN 0312'!$O$132,'RESOLUCIÓN 0312'!$T$132,'RESOLUCIÓN 0312'!$Y$132,'RESOLUCIÓN 0312'!$AD$132,'RESOLUCIÓN 0312'!$AI$132,'RESOLUCIÓN 0312'!$AN$132,'RESOLUCIÓN 0312'!$AS$132,'RESOLUCIÓN 0312'!$AX$132,'RESOLUCIÓN 0312'!$BC$132,'RESOLUCIÓN 0312'!$BH$132,'RESOLUCIÓN 0312'!$BM$132)</f>
              <numCache>
                <formatCode>General</formatCode>
                <ptCount val="12"/>
                <pt idx="0">
                  <v>0</v>
                </pt>
                <pt idx="1">
                  <v>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13</v>
                </pt>
                <pt idx="11">
                  <v>30</v>
                </pt>
              </numCache>
            </numRef>
          </val>
        </ser>
        <ser>
          <idx val="1"/>
          <order val="1"/>
          <tx>
            <v>NÚMERO DE TRABAJADORES EN EL MES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('RESOLUCIÓN 0312'!$K$131,'RESOLUCIÓN 0312'!$P$131,'RESOLUCIÓN 0312'!$U$131,'RESOLUCIÓN 0312'!$Z$131,'RESOLUCIÓN 0312'!$AE$131,'RESOLUCIÓN 0312'!$AJ$131,'RESOLUCIÓN 0312'!$AO$131,'RESOLUCIÓN 0312'!$AT$131,'RESOLUCIÓN 0312'!$AY$131,'RESOLUCIÓN 0312'!$BD$131,'RESOLUCIÓN 0312'!$BI$131,'RESOLUCIÓN 0312'!$BN$131)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('RESOLUCIÓN 0312'!$J$133,'RESOLUCIÓN 0312'!$O$133,'RESOLUCIÓN 0312'!$T$133,'RESOLUCIÓN 0312'!$Y$133,'RESOLUCIÓN 0312'!$AD$133,'RESOLUCIÓN 0312'!$AI$133,'RESOLUCIÓN 0312'!$AN$133,'RESOLUCIÓN 0312'!$AS$133,'RESOLUCIÓN 0312'!$AX$133,'RESOLUCIÓN 0312'!$BC$133,'RESOLUCIÓN 0312'!$BH$133,'RESOLUCIÓN 0312'!$BM$133)</f>
              <numCache>
                <formatCode>General</formatCode>
                <ptCount val="12"/>
                <pt idx="0">
                  <v>6</v>
                </pt>
                <pt idx="1">
                  <v>4</v>
                </pt>
                <pt idx="2">
                  <v>4</v>
                </pt>
                <pt idx="3">
                  <v>4</v>
                </pt>
                <pt idx="4">
                  <v>4</v>
                </pt>
                <pt idx="5">
                  <v>4</v>
                </pt>
                <pt idx="6">
                  <v>4</v>
                </pt>
                <pt idx="7">
                  <v>4</v>
                </pt>
                <pt idx="8">
                  <v>6</v>
                </pt>
                <pt idx="9">
                  <v>3</v>
                </pt>
                <pt idx="10">
                  <v>15</v>
                </pt>
                <pt idx="11">
                  <v>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466880"/>
        <axId val="211476864"/>
        <axId val="1000"/>
      </bar3DChart>
      <catAx>
        <axId val="2114668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476864"/>
        <crosses val="autoZero"/>
        <auto val="1"/>
        <lblAlgn val="ctr"/>
        <lblOffset val="100"/>
        <noMultiLvlLbl val="0"/>
      </catAx>
      <valAx>
        <axId val="2114768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466880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image" Target="/xl/media/image2.jpe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382700</colOff>
      <row>0</row>
      <rowOff>0</rowOff>
    </from>
    <to>
      <col>0</col>
      <colOff>1241652</colOff>
      <row>2</row>
      <rowOff>197269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2700" y="0"/>
          <a:ext cx="858952" cy="588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11</col>
      <colOff>285748</colOff>
      <row>8</row>
      <rowOff>97684</rowOff>
    </from>
    <to>
      <col>23</col>
      <colOff>295275</colOff>
      <row>26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111419</colOff>
      <row>57</row>
      <rowOff>70439</rowOff>
    </from>
    <to>
      <col>22</col>
      <colOff>733425</colOff>
      <row>75</row>
      <rowOff>9525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11</col>
      <colOff>130469</colOff>
      <row>81</row>
      <rowOff>70439</rowOff>
    </from>
    <to>
      <col>22</col>
      <colOff>590550</colOff>
      <row>97</row>
      <rowOff>76200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11</col>
      <colOff>314325</colOff>
      <row>33</row>
      <rowOff>123825</rowOff>
    </from>
    <to>
      <col>22</col>
      <colOff>914400</colOff>
      <row>51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11</col>
      <colOff>76199</colOff>
      <row>107</row>
      <rowOff>98738</rowOff>
    </from>
    <to>
      <col>23</col>
      <colOff>361950</colOff>
      <row>126</row>
      <rowOff>161925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11</col>
      <colOff>9524</colOff>
      <row>133</row>
      <rowOff>142876</rowOff>
    </from>
    <to>
      <col>25</col>
      <colOff>161925</colOff>
      <row>150</row>
      <rowOff>152400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0</col>
      <colOff>657225</colOff>
      <row>0</row>
      <rowOff>9525</rowOff>
    </from>
    <to>
      <col>1</col>
      <colOff>409575</colOff>
      <row>2</row>
      <rowOff>183204</rowOff>
    </to>
    <pic>
      <nvPicPr>
        <cNvPr id="10" name="9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57225" y="9525"/>
          <a:ext cx="809625" cy="5546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1139599</colOff>
      <row>0</row>
      <rowOff>8506</rowOff>
    </from>
    <to>
      <col>1</col>
      <colOff>156620</colOff>
      <row>2</row>
      <rowOff>178595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9599" y="8506"/>
          <a:ext cx="794454" cy="544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901475</colOff>
      <row>0</row>
      <rowOff>17010</rowOff>
    </from>
    <to>
      <col>0</col>
      <colOff>1621448</colOff>
      <row>2</row>
      <rowOff>153080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01475" y="17010"/>
          <a:ext cx="719973" cy="4932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2"/>
  <sheetViews>
    <sheetView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7" sqref="A7:A8"/>
    </sheetView>
  </sheetViews>
  <sheetFormatPr baseColWidth="10" defaultRowHeight="15"/>
  <cols>
    <col width="25.5703125" customWidth="1" style="78" min="1" max="1"/>
    <col width="24.7109375" customWidth="1" style="78" min="2" max="2"/>
    <col width="17.42578125" customWidth="1" style="15" min="3" max="3"/>
    <col width="27.140625" customWidth="1" style="78" min="4" max="4"/>
    <col width="18.5703125" customWidth="1" style="78" min="5" max="5"/>
    <col width="15.42578125" customWidth="1" style="78" min="6" max="6"/>
    <col width="16.85546875" customWidth="1" style="78" min="7" max="7"/>
    <col width="20.28515625" customWidth="1" style="26" min="8" max="8"/>
    <col width="12.42578125" customWidth="1" style="78" min="9" max="31"/>
    <col width="12" customWidth="1" style="78" min="32" max="32"/>
  </cols>
  <sheetData>
    <row r="1" ht="15" customHeight="1" s="78">
      <c r="A1" s="97" t="n"/>
      <c r="B1" s="207" t="inlineStr">
        <is>
          <t xml:space="preserve">MATRIZ DE INDICADORES 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6" t="n"/>
      <c r="AD1" s="208" t="inlineStr">
        <is>
          <t>Fecha: 02/02/2026</t>
        </is>
      </c>
      <c r="AE1" s="187" t="n"/>
      <c r="AF1" s="188" t="n"/>
    </row>
    <row r="2" ht="15.75" customHeight="1" s="78">
      <c r="A2" s="189" t="n"/>
      <c r="B2" s="190" t="n"/>
      <c r="AC2" s="191" t="n"/>
      <c r="AD2" s="120" t="inlineStr">
        <is>
          <t>VERSION: 1</t>
        </is>
      </c>
      <c r="AE2" s="187" t="n"/>
      <c r="AF2" s="188" t="n"/>
    </row>
    <row r="3" ht="17.25" customHeight="1" s="78">
      <c r="A3" s="192" t="n"/>
      <c r="B3" s="193" t="n"/>
      <c r="C3" s="194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194" t="n"/>
      <c r="N3" s="194" t="n"/>
      <c r="O3" s="194" t="n"/>
      <c r="P3" s="194" t="n"/>
      <c r="Q3" s="194" t="n"/>
      <c r="R3" s="194" t="n"/>
      <c r="S3" s="194" t="n"/>
      <c r="T3" s="194" t="n"/>
      <c r="U3" s="194" t="n"/>
      <c r="V3" s="194" t="n"/>
      <c r="W3" s="194" t="n"/>
      <c r="X3" s="194" t="n"/>
      <c r="Y3" s="194" t="n"/>
      <c r="Z3" s="194" t="n"/>
      <c r="AA3" s="194" t="n"/>
      <c r="AB3" s="194" t="n"/>
      <c r="AC3" s="195" t="n"/>
      <c r="AD3" s="120" t="inlineStr">
        <is>
          <t>CODIGO: FG-FOR-SST-104</t>
        </is>
      </c>
      <c r="AE3" s="187" t="n"/>
      <c r="AF3" s="188" t="n"/>
    </row>
    <row r="4" ht="15" customHeight="1" s="78">
      <c r="A4" s="132" t="inlineStr">
        <is>
          <t>INDICADORES DE  ESTRUCTURA 2026</t>
        </is>
      </c>
      <c r="B4" s="185" t="n"/>
      <c r="C4" s="185" t="n"/>
      <c r="D4" s="185" t="n"/>
      <c r="E4" s="185" t="n"/>
      <c r="F4" s="185" t="n"/>
      <c r="G4" s="185" t="n"/>
      <c r="H4" s="186" t="n"/>
      <c r="I4" s="99" t="inlineStr">
        <is>
          <t xml:space="preserve">RESULTADOS </t>
        </is>
      </c>
    </row>
    <row r="5" ht="15.75" customHeight="1" s="78">
      <c r="A5" s="193" t="n"/>
      <c r="B5" s="194" t="n"/>
      <c r="C5" s="194" t="n"/>
      <c r="D5" s="194" t="n"/>
      <c r="E5" s="194" t="n"/>
      <c r="F5" s="194" t="n"/>
      <c r="G5" s="194" t="n"/>
      <c r="H5" s="195" t="n"/>
      <c r="I5" s="101" t="inlineStr">
        <is>
          <t>AÑO: 2026</t>
        </is>
      </c>
      <c r="J5" s="194" t="n"/>
      <c r="K5" s="194" t="n"/>
      <c r="L5" s="194" t="n"/>
      <c r="M5" s="194" t="n"/>
      <c r="N5" s="194" t="n"/>
      <c r="O5" s="194" t="n"/>
      <c r="P5" s="194" t="n"/>
      <c r="Q5" s="194" t="n"/>
      <c r="R5" s="194" t="n"/>
      <c r="S5" s="194" t="n"/>
      <c r="T5" s="194" t="n"/>
      <c r="U5" s="194" t="n"/>
      <c r="V5" s="194" t="n"/>
      <c r="W5" s="194" t="n"/>
      <c r="X5" s="194" t="n"/>
      <c r="Y5" s="194" t="n"/>
      <c r="Z5" s="194" t="n"/>
      <c r="AA5" s="194" t="n"/>
      <c r="AB5" s="194" t="n"/>
      <c r="AC5" s="194" t="n"/>
      <c r="AD5" s="194" t="n"/>
      <c r="AE5" s="194" t="n"/>
      <c r="AF5" s="194" t="n"/>
    </row>
    <row r="6" ht="22.5" customHeight="1" s="78">
      <c r="A6" s="32" t="inlineStr">
        <is>
          <t>DEFINICION DEL INDICADOR</t>
        </is>
      </c>
      <c r="B6" s="32" t="inlineStr">
        <is>
          <t>INTERPRETACION</t>
        </is>
      </c>
      <c r="C6" s="32" t="inlineStr">
        <is>
          <t>LIMITE DEL INDICADOR</t>
        </is>
      </c>
      <c r="D6" s="32" t="inlineStr">
        <is>
          <t>METODO DE CALCULO Y/O VERIFICACION</t>
        </is>
      </c>
      <c r="E6" s="32" t="inlineStr">
        <is>
          <t>FUENTE DE INFORMACION</t>
        </is>
      </c>
      <c r="F6" s="32" t="inlineStr">
        <is>
          <t>PERIODICIDAD</t>
        </is>
      </c>
      <c r="G6" s="32" t="inlineStr">
        <is>
          <t>RESPONSABLE</t>
        </is>
      </c>
      <c r="H6" s="32" t="inlineStr">
        <is>
          <t>COMUNICARLO A :</t>
        </is>
      </c>
      <c r="I6" s="32" t="inlineStr">
        <is>
          <t>ENERO</t>
        </is>
      </c>
      <c r="J6" s="32" t="inlineStr">
        <is>
          <t>CUMPLIMIENTO (SI/NO)</t>
        </is>
      </c>
      <c r="K6" s="32" t="inlineStr">
        <is>
          <t>FEBRERO</t>
        </is>
      </c>
      <c r="L6" s="32" t="inlineStr">
        <is>
          <t>CUMPLIMIENTO (SI/NO)</t>
        </is>
      </c>
      <c r="M6" s="32" t="inlineStr">
        <is>
          <t>MARZO</t>
        </is>
      </c>
      <c r="N6" s="32" t="inlineStr">
        <is>
          <t>CUMPLIMIENTO (SI/NO)</t>
        </is>
      </c>
      <c r="O6" s="32" t="inlineStr">
        <is>
          <t>ABRIL</t>
        </is>
      </c>
      <c r="P6" s="32" t="inlineStr">
        <is>
          <t>CUMPLIMIENTO (SI/NO)</t>
        </is>
      </c>
      <c r="Q6" s="32" t="inlineStr">
        <is>
          <t>MAYO</t>
        </is>
      </c>
      <c r="R6" s="32" t="inlineStr">
        <is>
          <t>CUMPLIMIENTO (SI/NO)</t>
        </is>
      </c>
      <c r="S6" s="32" t="inlineStr">
        <is>
          <t>JUNIO</t>
        </is>
      </c>
      <c r="T6" s="32" t="inlineStr">
        <is>
          <t>CUMPLIMIENTO (SI/NO)</t>
        </is>
      </c>
      <c r="U6" s="32" t="inlineStr">
        <is>
          <t>JULIO</t>
        </is>
      </c>
      <c r="V6" s="32" t="inlineStr">
        <is>
          <t>CUMPLIMIENTO (SI/NO)</t>
        </is>
      </c>
      <c r="W6" s="32" t="inlineStr">
        <is>
          <t>AGOSTO</t>
        </is>
      </c>
      <c r="X6" s="32" t="inlineStr">
        <is>
          <t>CUMPLIMIENTO (SI/NO)</t>
        </is>
      </c>
      <c r="Y6" s="32" t="inlineStr">
        <is>
          <t>SEPTIEMBRE</t>
        </is>
      </c>
      <c r="Z6" s="32" t="inlineStr">
        <is>
          <t>CUMPLIMIENTO (SI/NO)</t>
        </is>
      </c>
      <c r="AA6" s="32" t="inlineStr">
        <is>
          <t>OCTUBRE</t>
        </is>
      </c>
      <c r="AB6" s="32" t="inlineStr">
        <is>
          <t>CUMPLIMIENTO (SI/NO)</t>
        </is>
      </c>
      <c r="AC6" s="32" t="inlineStr">
        <is>
          <t>NOVIEMBRE</t>
        </is>
      </c>
      <c r="AD6" s="32" t="inlineStr">
        <is>
          <t>CUMPLIMIENTO (SI/NO)</t>
        </is>
      </c>
      <c r="AE6" s="32" t="inlineStr">
        <is>
          <t>DICIEMBRE</t>
        </is>
      </c>
      <c r="AF6" s="32" t="inlineStr">
        <is>
          <t>CUMPLIMIENTO (SI/NO)</t>
        </is>
      </c>
    </row>
    <row r="7" ht="60.75" customFormat="1" customHeight="1" s="73">
      <c r="A7" s="131" t="inlineStr">
        <is>
          <t xml:space="preserve">POLÍTICA SST Y COMUNICACIÓN </t>
        </is>
      </c>
      <c r="B7" s="131" t="inlineStr">
        <is>
          <t>Mide el cumplimiento de los objetivos de la política SST</t>
        </is>
      </c>
      <c r="C7" s="17" t="n">
        <v>0.8</v>
      </c>
      <c r="D7" s="16" t="inlineStr">
        <is>
          <t>(# de objetivos cumplidos de la política / #  de objetivos establecidos en la política) X 100%</t>
        </is>
      </c>
      <c r="E7" s="131" t="inlineStr">
        <is>
          <t>Política SST</t>
        </is>
      </c>
      <c r="F7" s="131" t="inlineStr">
        <is>
          <t>ANUAL</t>
        </is>
      </c>
      <c r="G7" s="131" t="inlineStr">
        <is>
          <t>Alta gerencia, área SSt, COPASST o VIGÍA</t>
        </is>
      </c>
      <c r="H7" s="82" t="inlineStr">
        <is>
          <t>Alta gerencia, COPASST/VIGÍA, CCL, brigadistas, área SST, trabajadores</t>
        </is>
      </c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  <c r="AB7" s="114" t="n"/>
      <c r="AC7" s="114" t="n"/>
      <c r="AD7" s="114" t="n"/>
      <c r="AE7" s="95">
        <f>3/3*100%</f>
        <v/>
      </c>
      <c r="AF7" s="58" t="inlineStr">
        <is>
          <t>SI</t>
        </is>
      </c>
    </row>
    <row r="8" ht="48" customFormat="1" customHeight="1" s="73">
      <c r="A8" s="192" t="n"/>
      <c r="B8" s="131" t="inlineStr">
        <is>
          <t>Mide la comunicación de la política SST a todos los trabajadores</t>
        </is>
      </c>
      <c r="C8" s="17" t="n">
        <v>1</v>
      </c>
      <c r="D8" s="16" t="inlineStr">
        <is>
          <t>(# de trabajadores que asistieron a la capacitación de la política/ # de trabajadores en el año) X 100%</t>
        </is>
      </c>
      <c r="E8" s="131" t="inlineStr">
        <is>
          <t>Registro de asistencia de la comunicación de la política</t>
        </is>
      </c>
      <c r="F8" s="131" t="inlineStr">
        <is>
          <t>ANUAL</t>
        </is>
      </c>
      <c r="G8" s="131" t="inlineStr">
        <is>
          <t>Alta gerencia, área SSt, COPASST o VIGÍA</t>
        </is>
      </c>
      <c r="H8" s="82" t="inlineStr">
        <is>
          <t>Alta gerencia, COPASST/VIGÍA, CCL, brigadistas, área SST, trabajadores</t>
        </is>
      </c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  <c r="AB8" s="114" t="n"/>
      <c r="AC8" s="114" t="n"/>
      <c r="AD8" s="114" t="n"/>
      <c r="AE8" s="95">
        <f>6/6*100%</f>
        <v/>
      </c>
      <c r="AF8" s="58" t="inlineStr">
        <is>
          <t>SI</t>
        </is>
      </c>
    </row>
    <row r="9" ht="57.75" customFormat="1" customHeight="1" s="73">
      <c r="A9" s="197" t="inlineStr">
        <is>
          <t>LOS OBJETIVOS DEL SG-SST</t>
        </is>
      </c>
      <c r="B9" s="197" t="inlineStr">
        <is>
          <t>Se establecieron los objetivos en funcion de la politica SST, a la evaluación inicial, autoevaluación y auditoría.</t>
        </is>
      </c>
      <c r="C9" s="170" t="inlineStr">
        <is>
          <t>SI</t>
        </is>
      </c>
      <c r="D9" s="198" t="inlineStr">
        <is>
          <t xml:space="preserve">Se establecieron los objetivos del SG-SST (si o no) </t>
        </is>
      </c>
      <c r="E9" s="197" t="inlineStr">
        <is>
          <t>Objetivos del SG-SST</t>
        </is>
      </c>
      <c r="F9" s="197" t="inlineStr">
        <is>
          <t>ANUAL</t>
        </is>
      </c>
      <c r="G9" s="197" t="inlineStr">
        <is>
          <t>Alta gerencia, área SSt, COPASST o VIGÍA</t>
        </is>
      </c>
      <c r="H9" s="199" t="inlineStr">
        <is>
          <t>Alta gerencia, COPASST/VIGÍA, CCL, brigadistas, área SST, trabajadores</t>
        </is>
      </c>
      <c r="I9" s="200" t="n"/>
      <c r="J9" s="200" t="n"/>
      <c r="K9" s="200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0" t="n"/>
      <c r="U9" s="200" t="n"/>
      <c r="V9" s="200" t="n"/>
      <c r="W9" s="200" t="n"/>
      <c r="X9" s="200" t="n"/>
      <c r="Y9" s="200" t="n"/>
      <c r="Z9" s="200" t="n"/>
      <c r="AA9" s="200" t="n"/>
      <c r="AB9" s="200" t="n"/>
      <c r="AC9" s="200" t="n"/>
      <c r="AD9" s="200" t="n"/>
      <c r="AE9" s="201" t="inlineStr">
        <is>
          <t>SI</t>
        </is>
      </c>
      <c r="AF9" s="200" t="inlineStr">
        <is>
          <t>SI</t>
        </is>
      </c>
    </row>
    <row r="10" ht="48.75" customHeight="1" s="78">
      <c r="A10" s="128" t="inlineStr">
        <is>
          <t>PLAN DE TRABAJO Y CRONOGRAMA</t>
        </is>
      </c>
      <c r="B10" s="128" t="inlineStr">
        <is>
          <t>FECHA: 01/02/2026</t>
        </is>
      </c>
      <c r="C10" s="170" t="inlineStr">
        <is>
          <t>SI</t>
        </is>
      </c>
      <c r="D10" s="128" t="inlineStr">
        <is>
          <t>La empresa elaboró el plan de trabajo anual (si o no)</t>
        </is>
      </c>
      <c r="E10" s="128" t="inlineStr">
        <is>
          <t>Plan de trabajo Cronograma</t>
        </is>
      </c>
      <c r="F10" s="197" t="inlineStr">
        <is>
          <t>ANUAL</t>
        </is>
      </c>
      <c r="G10" s="128" t="inlineStr">
        <is>
          <t>Área SST, brigadistas, CCL, COPASST o VIGÍA</t>
        </is>
      </c>
      <c r="H10" s="199" t="inlineStr">
        <is>
          <t>Alta gerencia, COPASST/VIGÍA, CCL, brigadistas, área SST, trabajadores</t>
        </is>
      </c>
      <c r="I10" s="200" t="n"/>
      <c r="J10" s="200" t="n"/>
      <c r="K10" s="200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  <c r="AC10" s="200" t="n"/>
      <c r="AD10" s="200" t="n"/>
      <c r="AE10" s="111" t="inlineStr">
        <is>
          <t>SI</t>
        </is>
      </c>
      <c r="AF10" s="183" t="inlineStr">
        <is>
          <t>SI</t>
        </is>
      </c>
    </row>
    <row r="11" ht="48.75" customHeight="1" s="78">
      <c r="A11" s="128" t="inlineStr">
        <is>
          <t>ASIGNACION DE RESPONSABILIDADES</t>
        </is>
      </c>
      <c r="B11" s="128" t="inlineStr">
        <is>
          <t>Mide si se ha dado funciones y responsabilidades a todos los niveles jerárquicos de la organización.</t>
        </is>
      </c>
      <c r="C11" s="129" t="n">
        <v>1</v>
      </c>
      <c r="D11" s="128" t="inlineStr">
        <is>
          <t>(# de niveles jerárquicos con responsabilidades / # de niveles         jerárquicos establecidos en la empresa)  X 100%</t>
        </is>
      </c>
      <c r="E11" s="128" t="inlineStr">
        <is>
          <t>Asignación de responsabilidades</t>
        </is>
      </c>
      <c r="F11" s="197" t="inlineStr">
        <is>
          <t>ANUAL</t>
        </is>
      </c>
      <c r="G11" s="128" t="inlineStr">
        <is>
          <t>Área SST, COPASST o VIGÍA</t>
        </is>
      </c>
      <c r="H11" s="199" t="inlineStr">
        <is>
          <t>Alta gerencia, COPASST/VIGÍA, CCL, brigadistas, área SST, trabajadores</t>
        </is>
      </c>
      <c r="I11" s="200" t="n"/>
      <c r="J11" s="200" t="n"/>
      <c r="K11" s="200" t="n"/>
      <c r="L11" s="200" t="n"/>
      <c r="M11" s="200" t="n"/>
      <c r="N11" s="200" t="n"/>
      <c r="O11" s="200" t="n"/>
      <c r="P11" s="200" t="n"/>
      <c r="Q11" s="200" t="n"/>
      <c r="R11" s="200" t="n"/>
      <c r="S11" s="200" t="n"/>
      <c r="T11" s="200" t="n"/>
      <c r="U11" s="200" t="n"/>
      <c r="V11" s="200" t="n"/>
      <c r="W11" s="200" t="n"/>
      <c r="X11" s="200" t="n"/>
      <c r="Y11" s="200" t="n"/>
      <c r="Z11" s="200" t="n"/>
      <c r="AA11" s="200" t="n"/>
      <c r="AB11" s="200" t="n"/>
      <c r="AC11" s="200" t="n"/>
      <c r="AD11" s="200" t="n"/>
      <c r="AE11" s="123">
        <f>3/3*100%</f>
        <v/>
      </c>
      <c r="AF11" s="183" t="inlineStr">
        <is>
          <t>SI</t>
        </is>
      </c>
    </row>
    <row r="12" ht="59.25" customHeight="1" s="78">
      <c r="A12" s="128" t="inlineStr">
        <is>
          <t>ASIGNACION DE RECURSOS</t>
        </is>
      </c>
      <c r="B12" s="128" t="inlineStr">
        <is>
          <t>Mide el compromiso de la dirección en la asignación de recursos según numeral 2.2.4.6.8 numeral 4 Decreto 1072</t>
        </is>
      </c>
      <c r="C12" s="170" t="inlineStr">
        <is>
          <t>SI</t>
        </is>
      </c>
      <c r="D12" s="128" t="inlineStr">
        <is>
          <t>ACTIVIDAD ECONÓMICA: CIIU 0230 (Recolección forestal y operación de campo) y CIIU 0163 (Post-cosecha y acondicionamiento agrícola)</t>
        </is>
      </c>
      <c r="E12" s="128" t="inlineStr">
        <is>
          <t>ACTIVIDAD ECONÓMICA: CIIU 0230 (Recolección forestal y operación de campo) y CIIU 0163 (Post-cosecha y acondicionamiento agrícola)</t>
        </is>
      </c>
      <c r="F12" s="197" t="inlineStr">
        <is>
          <t>ANUAL</t>
        </is>
      </c>
      <c r="G12" s="128" t="inlineStr">
        <is>
          <t>Alta gerencia, área SST, brigadistas, CCL, COPASST o VIGÍA</t>
        </is>
      </c>
      <c r="H12" s="199" t="inlineStr">
        <is>
          <t>Alta gerencia, COPASST/VIGÍA, CCL, brigadistas, área SST</t>
        </is>
      </c>
      <c r="I12" s="200" t="n"/>
      <c r="J12" s="200" t="n"/>
      <c r="K12" s="200" t="n"/>
      <c r="L12" s="200" t="n"/>
      <c r="M12" s="200" t="n"/>
      <c r="N12" s="200" t="n"/>
      <c r="O12" s="200" t="n"/>
      <c r="P12" s="200" t="n"/>
      <c r="Q12" s="200" t="n"/>
      <c r="R12" s="200" t="n"/>
      <c r="S12" s="200" t="n"/>
      <c r="T12" s="200" t="n"/>
      <c r="U12" s="200" t="n"/>
      <c r="V12" s="200" t="n"/>
      <c r="W12" s="200" t="n"/>
      <c r="X12" s="200" t="n"/>
      <c r="Y12" s="200" t="n"/>
      <c r="Z12" s="200" t="n"/>
      <c r="AA12" s="200" t="n"/>
      <c r="AB12" s="200" t="n"/>
      <c r="AC12" s="200" t="n"/>
      <c r="AD12" s="200" t="n"/>
      <c r="AE12" s="111" t="inlineStr">
        <is>
          <t>SI</t>
        </is>
      </c>
      <c r="AF12" s="183" t="inlineStr">
        <is>
          <t>SI</t>
        </is>
      </c>
    </row>
    <row r="13" ht="21.75" customHeight="1" s="78">
      <c r="A13" s="128" t="inlineStr">
        <is>
          <t>MÉTODO PARA LA IDENTIFICACION DE PELIGROS Y EVALUACION DE RIESGOS</t>
        </is>
      </c>
      <c r="B13" s="128" t="inlineStr">
        <is>
          <t>Establece el mecanismo que la organización usará para la IPEVR</t>
        </is>
      </c>
      <c r="C13" s="128" t="inlineStr">
        <is>
          <t>SI</t>
        </is>
      </c>
      <c r="D13" s="128" t="inlineStr">
        <is>
          <t>La  organización estableció una  metodología para la IPEVR (si o no)</t>
        </is>
      </c>
      <c r="E13" s="128" t="inlineStr">
        <is>
          <t>Elaboración de procedimiento para IPEVR</t>
        </is>
      </c>
      <c r="F13" s="131" t="inlineStr">
        <is>
          <t>ANUAL</t>
        </is>
      </c>
      <c r="G13" s="128" t="inlineStr">
        <is>
          <t>Área SST</t>
        </is>
      </c>
      <c r="H13" s="140" t="inlineStr">
        <is>
          <t>Alta gerencia, COPASST/VIGÍA, CCL, brigadistas, área SST</t>
        </is>
      </c>
      <c r="I13" s="114" t="n"/>
      <c r="J13" s="105" t="n"/>
      <c r="K13" s="114" t="n"/>
      <c r="L13" s="105" t="n"/>
      <c r="M13" s="114" t="n"/>
      <c r="N13" s="105" t="n"/>
      <c r="O13" s="114" t="n"/>
      <c r="P13" s="105" t="n"/>
      <c r="Q13" s="114" t="n"/>
      <c r="R13" s="105" t="n"/>
      <c r="S13" s="114" t="n"/>
      <c r="T13" s="105" t="n"/>
      <c r="U13" s="114" t="n"/>
      <c r="V13" s="105" t="n"/>
      <c r="W13" s="114" t="n"/>
      <c r="X13" s="105" t="n"/>
      <c r="Y13" s="114" t="n"/>
      <c r="Z13" s="105" t="n"/>
      <c r="AA13" s="114" t="n"/>
      <c r="AB13" s="105" t="n"/>
      <c r="AC13" s="114" t="n"/>
      <c r="AD13" s="105" t="n"/>
      <c r="AE13" s="111" t="inlineStr">
        <is>
          <t>SI</t>
        </is>
      </c>
      <c r="AF13" s="183" t="inlineStr">
        <is>
          <t>SI</t>
        </is>
      </c>
    </row>
    <row r="14" ht="37.5" customHeight="1" s="78">
      <c r="A14" s="192" t="n"/>
      <c r="B14" s="192" t="n"/>
      <c r="C14" s="192" t="n"/>
      <c r="D14" s="192" t="n"/>
      <c r="E14" s="192" t="n"/>
      <c r="F14" s="192" t="n"/>
      <c r="G14" s="192" t="n"/>
      <c r="H14" s="192" t="n"/>
      <c r="I14" s="192" t="n"/>
      <c r="J14" s="107" t="n"/>
      <c r="K14" s="192" t="n"/>
      <c r="L14" s="107" t="n"/>
      <c r="M14" s="192" t="n"/>
      <c r="N14" s="107" t="n"/>
      <c r="O14" s="192" t="n"/>
      <c r="P14" s="107" t="n"/>
      <c r="Q14" s="192" t="n"/>
      <c r="R14" s="107" t="n"/>
      <c r="S14" s="192" t="n"/>
      <c r="T14" s="107" t="n"/>
      <c r="U14" s="192" t="n"/>
      <c r="V14" s="107" t="n"/>
      <c r="W14" s="192" t="n"/>
      <c r="X14" s="107" t="n"/>
      <c r="Y14" s="192" t="n"/>
      <c r="Z14" s="107" t="n"/>
      <c r="AA14" s="192" t="n"/>
      <c r="AB14" s="107" t="n"/>
      <c r="AC14" s="192" t="n"/>
      <c r="AD14" s="107" t="n"/>
      <c r="AE14" s="192" t="n"/>
      <c r="AF14" s="192" t="n"/>
    </row>
    <row r="15" ht="57" customHeight="1" s="78">
      <c r="A15" s="128" t="inlineStr">
        <is>
          <t>CONFORMACIÓN Y FUNCIONAMIENTO DEL VIGIA O DEL COPASST</t>
        </is>
      </c>
      <c r="B15" s="128" t="inlineStr">
        <is>
          <t>Mide la funcionalidad del Vigía o del COPASST en la empresa</t>
        </is>
      </c>
      <c r="C15" s="128" t="inlineStr">
        <is>
          <t>SI</t>
        </is>
      </c>
      <c r="D15" s="128" t="inlineStr">
        <is>
          <t>La empresa cuenta con COPASST o Vigía y tienen asignadas las funciones y responsabilidades (si o no).</t>
        </is>
      </c>
      <c r="E15" s="128" t="inlineStr">
        <is>
          <t>Manual funciones/ planificación de actividades del COPASST o VIGÍA en el plan de trabajo anual</t>
        </is>
      </c>
      <c r="F15" s="131" t="inlineStr">
        <is>
          <t>ANUAL</t>
        </is>
      </c>
      <c r="G15" s="128" t="inlineStr">
        <is>
          <t>Área SST, COPASST o VIGÍA</t>
        </is>
      </c>
      <c r="H15" s="140" t="inlineStr">
        <is>
          <t>Alta gerencia, COPASST/VIGÍA, área SST</t>
        </is>
      </c>
      <c r="I15" s="105" t="n"/>
      <c r="J15" s="105" t="n"/>
      <c r="K15" s="105" t="n"/>
      <c r="L15" s="105" t="n"/>
      <c r="M15" s="105" t="n"/>
      <c r="N15" s="105" t="n"/>
      <c r="O15" s="105" t="n"/>
      <c r="P15" s="105" t="n"/>
      <c r="Q15" s="105" t="n"/>
      <c r="R15" s="105" t="n"/>
      <c r="S15" s="105" t="n"/>
      <c r="T15" s="105" t="n"/>
      <c r="U15" s="105" t="n"/>
      <c r="V15" s="105" t="n"/>
      <c r="W15" s="105" t="n"/>
      <c r="X15" s="105" t="n"/>
      <c r="Y15" s="105" t="n"/>
      <c r="Z15" s="105" t="n"/>
      <c r="AA15" s="105" t="n"/>
      <c r="AB15" s="105" t="n"/>
      <c r="AC15" s="105" t="n"/>
      <c r="AD15" s="105" t="n"/>
      <c r="AE15" s="111" t="inlineStr">
        <is>
          <t>SI</t>
        </is>
      </c>
      <c r="AF15" s="183" t="inlineStr">
        <is>
          <t>SI</t>
        </is>
      </c>
    </row>
    <row r="16" ht="46.5" customHeight="1" s="78">
      <c r="A16" s="128" t="inlineStr">
        <is>
          <t xml:space="preserve">DOCUMENTOS QUE SOPORTAN EL SISTEMA </t>
        </is>
      </c>
      <c r="B16" s="128" t="inlineStr">
        <is>
          <t>Mide el diseño de los documentos del sistema según Numeral 2.2.4.6.12. del Decreto 1072/2015</t>
        </is>
      </c>
      <c r="C16" s="129" t="n">
        <v>0.8</v>
      </c>
      <c r="D16" s="128" t="inlineStr">
        <is>
          <t>(# de   documentos diseñados / # de documentos exigidos) X 100%</t>
        </is>
      </c>
      <c r="E16" s="128" t="inlineStr">
        <is>
          <t>Documentos del SG-SST</t>
        </is>
      </c>
      <c r="F16" s="131" t="inlineStr">
        <is>
          <t>ANUAL</t>
        </is>
      </c>
      <c r="G16" s="128" t="inlineStr">
        <is>
          <t>Área SST</t>
        </is>
      </c>
      <c r="H16" s="140" t="inlineStr">
        <is>
          <t>Alta gerencia, COPASST/VIGÍA, área SST</t>
        </is>
      </c>
      <c r="I16" s="105" t="n"/>
      <c r="J16" s="105" t="n"/>
      <c r="K16" s="105" t="n"/>
      <c r="L16" s="105" t="n"/>
      <c r="M16" s="105" t="n"/>
      <c r="N16" s="105" t="n"/>
      <c r="O16" s="105" t="n"/>
      <c r="P16" s="105" t="n"/>
      <c r="Q16" s="105" t="n"/>
      <c r="R16" s="105" t="n"/>
      <c r="S16" s="105" t="n"/>
      <c r="T16" s="105" t="n"/>
      <c r="U16" s="105" t="n"/>
      <c r="V16" s="105" t="n"/>
      <c r="W16" s="105" t="n"/>
      <c r="X16" s="105" t="n"/>
      <c r="Y16" s="105" t="n"/>
      <c r="Z16" s="105" t="n"/>
      <c r="AA16" s="105" t="n"/>
      <c r="AB16" s="105" t="n"/>
      <c r="AC16" s="105" t="n"/>
      <c r="AD16" s="105" t="n"/>
      <c r="AE16" s="123">
        <f>6/6*100%</f>
        <v/>
      </c>
      <c r="AF16" s="183" t="inlineStr">
        <is>
          <t>SI</t>
        </is>
      </c>
    </row>
    <row r="17" ht="33" customHeight="1" s="78">
      <c r="A17" s="128" t="inlineStr">
        <is>
          <t>PROCEDIMIENTO PARA EL DIAGNOSTICO DE CONDICIONES DE SALUD</t>
        </is>
      </c>
      <c r="B17" s="128" t="inlineStr">
        <is>
          <t xml:space="preserve">Establece el mecanismo que la organización usara para el desarrollo del Diagnóstico de Salud. </t>
        </is>
      </c>
      <c r="C17" s="128" t="inlineStr">
        <is>
          <t>SI</t>
        </is>
      </c>
      <c r="D17" s="128" t="inlineStr">
        <is>
          <t xml:space="preserve">La empresa tiene establecido el procedimiento para el diagnostico de Salud. (si o no) </t>
        </is>
      </c>
      <c r="E17" s="130" t="inlineStr">
        <is>
          <t>Procedimiento para la realización de los exámenes médicos, perfil sociodemográfico y morbilidad sentida. Diagnóstico condiciones de salud emitido por IPS</t>
        </is>
      </c>
      <c r="F17" s="131" t="inlineStr">
        <is>
          <t>ANUAL</t>
        </is>
      </c>
      <c r="G17" s="128" t="inlineStr">
        <is>
          <t>Área SST</t>
        </is>
      </c>
      <c r="H17" s="124" t="inlineStr">
        <is>
          <t>Alta gerencia, COPASST/VIGÍA, área SST</t>
        </is>
      </c>
      <c r="I17" s="114" t="n"/>
      <c r="J17" s="105" t="n"/>
      <c r="K17" s="114" t="n"/>
      <c r="L17" s="105" t="n"/>
      <c r="M17" s="114" t="n"/>
      <c r="N17" s="105" t="n"/>
      <c r="O17" s="114" t="n"/>
      <c r="P17" s="105" t="n"/>
      <c r="Q17" s="114" t="n"/>
      <c r="R17" s="105" t="n"/>
      <c r="S17" s="114" t="n"/>
      <c r="T17" s="105" t="n"/>
      <c r="U17" s="114" t="n"/>
      <c r="V17" s="105" t="n"/>
      <c r="W17" s="114" t="n"/>
      <c r="X17" s="105" t="n"/>
      <c r="Y17" s="114" t="n"/>
      <c r="Z17" s="105" t="n"/>
      <c r="AA17" s="114" t="n"/>
      <c r="AB17" s="105" t="n"/>
      <c r="AC17" s="114" t="n"/>
      <c r="AD17" s="105" t="n"/>
      <c r="AE17" s="111" t="inlineStr">
        <is>
          <t>SI</t>
        </is>
      </c>
      <c r="AF17" s="183" t="inlineStr">
        <is>
          <t>SI</t>
        </is>
      </c>
    </row>
    <row r="18" ht="48.75" customHeight="1" s="78">
      <c r="A18" s="192" t="n"/>
      <c r="B18" s="192" t="n"/>
      <c r="C18" s="192" t="n"/>
      <c r="D18" s="192" t="n"/>
      <c r="E18" s="192" t="n"/>
      <c r="F18" s="192" t="n"/>
      <c r="G18" s="192" t="n"/>
      <c r="H18" s="192" t="n"/>
      <c r="I18" s="192" t="n"/>
      <c r="J18" s="107" t="n"/>
      <c r="K18" s="192" t="n"/>
      <c r="L18" s="107" t="n"/>
      <c r="M18" s="192" t="n"/>
      <c r="N18" s="107" t="n"/>
      <c r="O18" s="192" t="n"/>
      <c r="P18" s="107" t="n"/>
      <c r="Q18" s="192" t="n"/>
      <c r="R18" s="107" t="n"/>
      <c r="S18" s="192" t="n"/>
      <c r="T18" s="107" t="n"/>
      <c r="U18" s="192" t="n"/>
      <c r="V18" s="107" t="n"/>
      <c r="W18" s="192" t="n"/>
      <c r="X18" s="107" t="n"/>
      <c r="Y18" s="192" t="n"/>
      <c r="Z18" s="107" t="n"/>
      <c r="AA18" s="192" t="n"/>
      <c r="AB18" s="107" t="n"/>
      <c r="AC18" s="192" t="n"/>
      <c r="AD18" s="107" t="n"/>
      <c r="AE18" s="192" t="n"/>
      <c r="AF18" s="192" t="n"/>
    </row>
    <row r="19" ht="45.75" customHeight="1" s="78">
      <c r="A19" s="128" t="inlineStr">
        <is>
          <t>PLAN PARA RESPUESTA ANTE EMERGENCIAS</t>
        </is>
      </c>
      <c r="B19" s="128" t="inlineStr">
        <is>
          <t>Existencia de un plan para la prevencion, preparacion y respuesta ante emergencias (PPPRAE)</t>
        </is>
      </c>
      <c r="C19" s="128" t="inlineStr">
        <is>
          <t>SI</t>
        </is>
      </c>
      <c r="D19" s="128" t="inlineStr">
        <is>
          <t>Se elaboró el PPPRAE  (si o no)</t>
        </is>
      </c>
      <c r="E19" s="128" t="inlineStr">
        <is>
          <t>PPPRAE</t>
        </is>
      </c>
      <c r="F19" s="131" t="inlineStr">
        <is>
          <t>ANUAL</t>
        </is>
      </c>
      <c r="G19" s="128" t="inlineStr">
        <is>
          <t>Alta gerencia, área SST, brigadistas</t>
        </is>
      </c>
      <c r="H19" s="84" t="inlineStr">
        <is>
          <t>Alta gerencia, COPASST/VIGÍA, brigadistas, área SST</t>
        </is>
      </c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  <c r="AB19" s="114" t="n"/>
      <c r="AC19" s="114" t="n"/>
      <c r="AD19" s="114" t="n"/>
      <c r="AE19" s="111" t="inlineStr">
        <is>
          <t>SI</t>
        </is>
      </c>
      <c r="AF19" s="183" t="inlineStr">
        <is>
          <t>SI</t>
        </is>
      </c>
    </row>
    <row r="20" ht="36.75" customHeight="1" s="78">
      <c r="A20" s="128" t="inlineStr">
        <is>
          <t>PLAN DE CAPACITACIÓN EN SEGURIDAD Y SALUD EN EL TRABAJO</t>
        </is>
      </c>
      <c r="B20" s="128" t="inlineStr">
        <is>
          <t>Elaboración de un plan de capacitación anual</t>
        </is>
      </c>
      <c r="C20" s="128" t="inlineStr">
        <is>
          <t>SI</t>
        </is>
      </c>
      <c r="D20" s="128" t="inlineStr">
        <is>
          <t>La empresa elaboró el plan de capacitación anual (si o no)</t>
        </is>
      </c>
      <c r="E20" s="128" t="inlineStr">
        <is>
          <t>Plan de capacitación</t>
        </is>
      </c>
      <c r="F20" s="131" t="inlineStr">
        <is>
          <t>ANUAL</t>
        </is>
      </c>
      <c r="G20" s="128" t="inlineStr">
        <is>
          <t>Área SST, brigadistas, CCL Y COPASST O VIGÍA</t>
        </is>
      </c>
      <c r="H20" s="84" t="inlineStr">
        <is>
          <t>Alta gerencia, COPASST/VIGÍA, CCL, brigadistas, área SST</t>
        </is>
      </c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  <c r="AB20" s="114" t="n"/>
      <c r="AC20" s="114" t="n"/>
      <c r="AD20" s="114" t="n"/>
      <c r="AE20" s="111" t="inlineStr">
        <is>
          <t>SI</t>
        </is>
      </c>
      <c r="AF20" s="183" t="inlineStr">
        <is>
          <t>SI</t>
        </is>
      </c>
    </row>
    <row r="21">
      <c r="A21" s="1" t="n"/>
      <c r="B21" s="1" t="n"/>
      <c r="C21" s="2" t="n"/>
      <c r="D21" s="1" t="n"/>
      <c r="E21" s="3" t="n"/>
      <c r="F21" s="1" t="n"/>
      <c r="G21" s="1" t="n"/>
    </row>
    <row r="22" ht="21" customHeight="1" s="78">
      <c r="A22" s="142" t="inlineStr">
        <is>
          <t>INDICADORES DE PROCESOS 2026</t>
        </is>
      </c>
      <c r="B22" s="187" t="n"/>
      <c r="C22" s="187" t="n"/>
      <c r="D22" s="187" t="n"/>
      <c r="E22" s="187" t="n"/>
      <c r="F22" s="187" t="n"/>
      <c r="G22" s="187" t="n"/>
      <c r="H22" s="188" t="n"/>
      <c r="I22" s="103" t="inlineStr">
        <is>
          <t>AÑO: 2026</t>
        </is>
      </c>
      <c r="J22" s="194" t="n"/>
      <c r="K22" s="194" t="n"/>
      <c r="L22" s="194" t="n"/>
      <c r="M22" s="194" t="n"/>
      <c r="N22" s="194" t="n"/>
      <c r="O22" s="194" t="n"/>
      <c r="P22" s="194" t="n"/>
      <c r="Q22" s="194" t="n"/>
      <c r="R22" s="194" t="n"/>
      <c r="S22" s="194" t="n"/>
      <c r="T22" s="194" t="n"/>
      <c r="U22" s="194" t="n"/>
      <c r="V22" s="194" t="n"/>
      <c r="W22" s="194" t="n"/>
      <c r="X22" s="194" t="n"/>
      <c r="Y22" s="194" t="n"/>
      <c r="Z22" s="194" t="n"/>
      <c r="AA22" s="194" t="n"/>
      <c r="AB22" s="194" t="n"/>
      <c r="AC22" s="194" t="n"/>
      <c r="AD22" s="194" t="n"/>
      <c r="AE22" s="194" t="n"/>
      <c r="AF22" s="194" t="n"/>
    </row>
    <row r="23" ht="30" customHeight="1" s="78">
      <c r="A23" s="33" t="inlineStr">
        <is>
          <t>DEFINICION DEL INDICADOR</t>
        </is>
      </c>
      <c r="B23" s="33" t="inlineStr">
        <is>
          <t>INTERPRETACION</t>
        </is>
      </c>
      <c r="C23" s="33" t="inlineStr">
        <is>
          <t>LIMITE DEL INDICADOR</t>
        </is>
      </c>
      <c r="D23" s="33" t="inlineStr">
        <is>
          <t>METODO DE CALCULO</t>
        </is>
      </c>
      <c r="E23" s="33" t="inlineStr">
        <is>
          <t>FUENTE DE INFORMACION</t>
        </is>
      </c>
      <c r="F23" s="33" t="inlineStr">
        <is>
          <t>PERIODICIDAD</t>
        </is>
      </c>
      <c r="G23" s="33" t="inlineStr">
        <is>
          <t>RESPONSABLE</t>
        </is>
      </c>
      <c r="H23" s="33" t="inlineStr">
        <is>
          <t>COMUNICARLO A :</t>
        </is>
      </c>
      <c r="I23" s="33" t="inlineStr">
        <is>
          <t>ENERO</t>
        </is>
      </c>
      <c r="J23" s="33" t="inlineStr">
        <is>
          <t>CUMPLIMIENTO (SI/NO)</t>
        </is>
      </c>
      <c r="K23" s="33" t="inlineStr">
        <is>
          <t>FEBRERO</t>
        </is>
      </c>
      <c r="L23" s="33" t="inlineStr">
        <is>
          <t>CUMPLIMIENTO (SI/NO)</t>
        </is>
      </c>
      <c r="M23" s="33" t="inlineStr">
        <is>
          <t>MARZO</t>
        </is>
      </c>
      <c r="N23" s="33" t="inlineStr">
        <is>
          <t>CUMPLIMIENTO (SI/NO)</t>
        </is>
      </c>
      <c r="O23" s="33" t="inlineStr">
        <is>
          <t>ABRIL</t>
        </is>
      </c>
      <c r="P23" s="33" t="inlineStr">
        <is>
          <t>CUMPLIMIENTO (SI/NO)</t>
        </is>
      </c>
      <c r="Q23" s="33" t="inlineStr">
        <is>
          <t>MAYO</t>
        </is>
      </c>
      <c r="R23" s="33" t="inlineStr">
        <is>
          <t>CUMPLIMIENTO (SI/NO)</t>
        </is>
      </c>
      <c r="S23" s="33" t="inlineStr">
        <is>
          <t>JUNIO</t>
        </is>
      </c>
      <c r="T23" s="33" t="inlineStr">
        <is>
          <t>CUMPLIMIENTO (SI/NO)</t>
        </is>
      </c>
      <c r="U23" s="33" t="inlineStr">
        <is>
          <t>JULIO</t>
        </is>
      </c>
      <c r="V23" s="33" t="inlineStr">
        <is>
          <t>CUMPLIMIENTO (SI/NO)</t>
        </is>
      </c>
      <c r="W23" s="33" t="inlineStr">
        <is>
          <t>AGOSTO</t>
        </is>
      </c>
      <c r="X23" s="33" t="inlineStr">
        <is>
          <t>CUMPLIMIENTO (SI/NO)</t>
        </is>
      </c>
      <c r="Y23" s="33" t="inlineStr">
        <is>
          <t>SEPTIEMBRE</t>
        </is>
      </c>
      <c r="Z23" s="33" t="inlineStr">
        <is>
          <t>CUMPLIMIENTO (SI/NO)</t>
        </is>
      </c>
      <c r="AA23" s="33" t="inlineStr">
        <is>
          <t>OCTUBRE</t>
        </is>
      </c>
      <c r="AB23" s="33" t="inlineStr">
        <is>
          <t>CUMPLIMIENTO (SI/NO)</t>
        </is>
      </c>
      <c r="AC23" s="33" t="inlineStr">
        <is>
          <t>NOVIEMBRE</t>
        </is>
      </c>
      <c r="AD23" s="33" t="inlineStr">
        <is>
          <t>CUMPLIMIENTO (SI/NO)</t>
        </is>
      </c>
      <c r="AE23" s="33" t="inlineStr">
        <is>
          <t>DICIEMBRE</t>
        </is>
      </c>
      <c r="AF23" s="33" t="inlineStr">
        <is>
          <t>CUMPLIMIENTO (SI/NO)</t>
        </is>
      </c>
    </row>
    <row r="24" ht="56.25" customHeight="1" s="78">
      <c r="A24" s="128" t="inlineStr">
        <is>
          <t>AUTOEVALUACION</t>
        </is>
      </c>
      <c r="B24" s="128" t="inlineStr">
        <is>
          <t>Mide el estado de avance de la organización en el tema de seguridad y salud en el trabajo de acuerdo a la resolución 0312/2019</t>
        </is>
      </c>
      <c r="C24" s="129" t="n">
        <v>0.8</v>
      </c>
      <c r="D24" s="128" t="inlineStr">
        <is>
          <t>(# de estándares cumplidos / # de estándares exigidos) X 100%</t>
        </is>
      </c>
      <c r="E24" s="128" t="inlineStr">
        <is>
          <t>Evaluación inicial o autoevaluación del SG-SST</t>
        </is>
      </c>
      <c r="F24" s="131" t="inlineStr">
        <is>
          <t>ANUAL</t>
        </is>
      </c>
      <c r="G24" s="128" t="inlineStr">
        <is>
          <t>Área SST, COPASST</t>
        </is>
      </c>
      <c r="H24" s="124" t="inlineStr">
        <is>
          <t>Alta gerencia, área SST, COPASST o VIGÍA, CCL, brigadistas, trabajadores</t>
        </is>
      </c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  <c r="AB24" s="114" t="n"/>
      <c r="AC24" s="114" t="n"/>
      <c r="AD24" s="114" t="n"/>
      <c r="AE24" s="123">
        <f>59/61*100%</f>
        <v/>
      </c>
      <c r="AF24" s="183" t="inlineStr">
        <is>
          <t>SI</t>
        </is>
      </c>
    </row>
    <row r="25" ht="48" customHeight="1" s="78">
      <c r="A25" s="128" t="inlineStr">
        <is>
          <t>EJECUCIÓN PLAN DE TRABAJO ANUAL</t>
        </is>
      </c>
      <c r="B25" s="128" t="inlineStr">
        <is>
          <t>Mide el desarrollo del plan de trabajo del SGSST.</t>
        </is>
      </c>
      <c r="C25" s="129" t="n">
        <v>0.8</v>
      </c>
      <c r="D25" s="128" t="inlineStr">
        <is>
          <t>(# de actividades ejecutadas en el plan de trabajo / # de actividades programadas en el plan de trabajo) x 100%</t>
        </is>
      </c>
      <c r="E25" s="128" t="inlineStr">
        <is>
          <t>Plan anual</t>
        </is>
      </c>
      <c r="F25" s="131" t="inlineStr">
        <is>
          <t>MENSUAL</t>
        </is>
      </c>
      <c r="G25" s="128" t="inlineStr">
        <is>
          <t>Área SST, brigadistas, CCL Y COPASST O VIGÍA</t>
        </is>
      </c>
      <c r="H25" s="124" t="inlineStr">
        <is>
          <t>Alta gerencia, área SST, COPASST o VIGÍA, CCL, brigadistas, trabajadores</t>
        </is>
      </c>
      <c r="I25" s="123">
        <f>(26/26)*100%</f>
        <v/>
      </c>
      <c r="J25" s="123" t="inlineStr">
        <is>
          <t>SI</t>
        </is>
      </c>
      <c r="K25" s="123">
        <f>(15/15)*100%</f>
        <v/>
      </c>
      <c r="L25" s="111" t="inlineStr">
        <is>
          <t>SI</t>
        </is>
      </c>
      <c r="M25" s="123">
        <f>(19/19)*100%</f>
        <v/>
      </c>
      <c r="N25" s="111" t="inlineStr">
        <is>
          <t>SI</t>
        </is>
      </c>
      <c r="O25" s="123">
        <f>(17/17)*100%</f>
        <v/>
      </c>
      <c r="P25" s="111" t="inlineStr">
        <is>
          <t>SI</t>
        </is>
      </c>
      <c r="Q25" s="123">
        <f>(17/17)*100%</f>
        <v/>
      </c>
      <c r="R25" s="111" t="inlineStr">
        <is>
          <t>SI</t>
        </is>
      </c>
      <c r="S25" s="123">
        <f>(15/15)*100%</f>
        <v/>
      </c>
      <c r="T25" s="111" t="inlineStr">
        <is>
          <t>SI</t>
        </is>
      </c>
      <c r="U25" s="123">
        <f>(15/15)*100%</f>
        <v/>
      </c>
      <c r="V25" s="111" t="inlineStr">
        <is>
          <t>SI</t>
        </is>
      </c>
      <c r="W25" s="123">
        <f>(15/15)*100%</f>
        <v/>
      </c>
      <c r="X25" s="111" t="inlineStr">
        <is>
          <t>SI</t>
        </is>
      </c>
      <c r="Y25" s="123">
        <f>14/14*100%</f>
        <v/>
      </c>
      <c r="Z25" s="111" t="inlineStr">
        <is>
          <t>SI</t>
        </is>
      </c>
      <c r="AA25" s="123">
        <f>15/15*100%</f>
        <v/>
      </c>
      <c r="AB25" s="111" t="inlineStr">
        <is>
          <t>SI</t>
        </is>
      </c>
      <c r="AC25" s="123">
        <f>15/15*100%</f>
        <v/>
      </c>
      <c r="AD25" s="111" t="inlineStr">
        <is>
          <t>SI</t>
        </is>
      </c>
      <c r="AE25" s="123">
        <f>23/24*100%</f>
        <v/>
      </c>
      <c r="AF25" s="183" t="inlineStr">
        <is>
          <t>SI</t>
        </is>
      </c>
    </row>
    <row r="26" ht="51.75" customHeight="1" s="78">
      <c r="A26" s="128" t="inlineStr">
        <is>
          <t>EJECUCION DEL PLAN DE CAPACITACION</t>
        </is>
      </c>
      <c r="B26" s="128" t="inlineStr">
        <is>
          <t xml:space="preserve">Mide el cumplimiento del plan de capacitación </t>
        </is>
      </c>
      <c r="C26" s="129" t="n">
        <v>0.8</v>
      </c>
      <c r="D26" s="128" t="inlineStr">
        <is>
          <t>(# de capacitaciones ejecutadas / # de capacitaciones programadas) X 100%</t>
        </is>
      </c>
      <c r="E26" s="126" t="inlineStr">
        <is>
          <t>Plan de capacitación</t>
        </is>
      </c>
      <c r="F26" s="138" t="inlineStr">
        <is>
          <t>MENSUAL</t>
        </is>
      </c>
      <c r="G26" s="126" t="inlineStr">
        <is>
          <t>Área SST, brigadistas, CCL Y COPASST O VIGÍA</t>
        </is>
      </c>
      <c r="H26" s="124" t="inlineStr">
        <is>
          <t>Alta gerencia, área SST, COPASST o VIGÍA, CCL, brigadistas, trabajadores</t>
        </is>
      </c>
      <c r="I26" s="123">
        <f>(3/3)*100%</f>
        <v/>
      </c>
      <c r="J26" s="111" t="inlineStr">
        <is>
          <t>SI</t>
        </is>
      </c>
      <c r="K26" s="123">
        <f>(2/2)*100%</f>
        <v/>
      </c>
      <c r="L26" s="111" t="inlineStr">
        <is>
          <t>SI</t>
        </is>
      </c>
      <c r="M26" s="123">
        <f>(1/1)*100%</f>
        <v/>
      </c>
      <c r="N26" s="111" t="inlineStr">
        <is>
          <t>SI</t>
        </is>
      </c>
      <c r="O26" s="123">
        <f>(5/5)*100%</f>
        <v/>
      </c>
      <c r="P26" s="111" t="inlineStr">
        <is>
          <t>SI</t>
        </is>
      </c>
      <c r="Q26" s="123">
        <f>(1/1)*100%</f>
        <v/>
      </c>
      <c r="R26" s="111" t="inlineStr">
        <is>
          <t>SI</t>
        </is>
      </c>
      <c r="S26" s="123">
        <f>(4/3)*100%</f>
        <v/>
      </c>
      <c r="T26" s="111" t="inlineStr">
        <is>
          <t>SI</t>
        </is>
      </c>
      <c r="U26" s="123">
        <f>(5/5)*100%</f>
        <v/>
      </c>
      <c r="V26" s="111" t="inlineStr">
        <is>
          <t>SI</t>
        </is>
      </c>
      <c r="W26" s="123">
        <f>(2/2)*100%</f>
        <v/>
      </c>
      <c r="X26" s="111" t="inlineStr">
        <is>
          <t>SI</t>
        </is>
      </c>
      <c r="Y26" s="123">
        <f>2/2*100%</f>
        <v/>
      </c>
      <c r="Z26" s="123" t="inlineStr">
        <is>
          <t>SI</t>
        </is>
      </c>
      <c r="AA26" s="123">
        <f>1/1*100%</f>
        <v/>
      </c>
      <c r="AB26" s="123" t="inlineStr">
        <is>
          <t>SI</t>
        </is>
      </c>
      <c r="AC26" s="123">
        <f>6/6*100%</f>
        <v/>
      </c>
      <c r="AD26" s="123" t="inlineStr">
        <is>
          <t>SI</t>
        </is>
      </c>
      <c r="AE26" s="123">
        <f>7/7*100%</f>
        <v/>
      </c>
      <c r="AF26" s="183" t="inlineStr">
        <is>
          <t>SI</t>
        </is>
      </c>
    </row>
    <row r="27" ht="48.75" customHeight="1" s="78">
      <c r="A27" s="192" t="n"/>
      <c r="B27" s="192" t="n"/>
      <c r="C27" s="192" t="n"/>
      <c r="D27" s="128" t="inlineStr">
        <is>
          <t>(# de trabajadores que asistieron a las capacitaciones/ # de trabajadores programados en las capacitaciones) X 100%</t>
        </is>
      </c>
      <c r="E27" s="189" t="n"/>
      <c r="F27" s="189" t="n"/>
      <c r="G27" s="189" t="n"/>
      <c r="H27" s="192" t="n"/>
      <c r="I27" s="123">
        <f>(6/6)*100%</f>
        <v/>
      </c>
      <c r="J27" s="111" t="inlineStr">
        <is>
          <t>SI</t>
        </is>
      </c>
      <c r="K27" s="123">
        <f>(5/5)*100%</f>
        <v/>
      </c>
      <c r="L27" s="111" t="inlineStr">
        <is>
          <t>SI</t>
        </is>
      </c>
      <c r="M27" s="123">
        <f>(3/3)*100%</f>
        <v/>
      </c>
      <c r="N27" s="111" t="inlineStr">
        <is>
          <t>SI</t>
        </is>
      </c>
      <c r="O27" s="123">
        <f>(4/4)*100%</f>
        <v/>
      </c>
      <c r="P27" s="111" t="inlineStr">
        <is>
          <t>SI</t>
        </is>
      </c>
      <c r="Q27" s="123">
        <f>(4/4)*100%</f>
        <v/>
      </c>
      <c r="R27" s="111" t="inlineStr">
        <is>
          <t>SI</t>
        </is>
      </c>
      <c r="S27" s="123">
        <f>(4/4)*100%</f>
        <v/>
      </c>
      <c r="T27" s="111" t="inlineStr">
        <is>
          <t>SI</t>
        </is>
      </c>
      <c r="U27" s="123">
        <f>(4/4)*100%</f>
        <v/>
      </c>
      <c r="V27" s="111" t="inlineStr">
        <is>
          <t>SI</t>
        </is>
      </c>
      <c r="W27" s="123">
        <f>(4/4)*100%</f>
        <v/>
      </c>
      <c r="X27" s="111" t="inlineStr">
        <is>
          <t>SI</t>
        </is>
      </c>
      <c r="Y27" s="123">
        <f>3/3*100%</f>
        <v/>
      </c>
      <c r="Z27" s="123" t="inlineStr">
        <is>
          <t>SI</t>
        </is>
      </c>
      <c r="AA27" s="123">
        <f>5/5*100%</f>
        <v/>
      </c>
      <c r="AB27" s="123" t="inlineStr">
        <is>
          <t>SI</t>
        </is>
      </c>
      <c r="AC27" s="123">
        <f>4/4*100%</f>
        <v/>
      </c>
      <c r="AD27" s="123" t="inlineStr">
        <is>
          <t>SI</t>
        </is>
      </c>
      <c r="AE27" s="123">
        <f>3/3*100%</f>
        <v/>
      </c>
      <c r="AF27" s="183" t="inlineStr">
        <is>
          <t>SI</t>
        </is>
      </c>
    </row>
    <row r="28" ht="67.5" customHeight="1" s="78">
      <c r="A28" s="128" t="inlineStr">
        <is>
          <t>INTERVENCION DE PELIGROS IDENTIFICADOS Y LOS RIESGOS PRIORIZADOS</t>
        </is>
      </c>
      <c r="B28" s="128" t="inlineStr">
        <is>
          <t>Evalúa el grado de gestión para minimizar el riesgo</t>
        </is>
      </c>
      <c r="C28" s="129" t="n">
        <v>0.8</v>
      </c>
      <c r="D28" s="128" t="inlineStr">
        <is>
          <t>(# de peligros intervenidos / # de peligros identificados) X 100%</t>
        </is>
      </c>
      <c r="E28" s="130" t="inlineStr">
        <is>
          <t>Matriz IPEVR, inspecciones, investigaciones de AT y EL, reportes de actos y condiciones inseguras, auditorías</t>
        </is>
      </c>
      <c r="F28" s="131" t="inlineStr">
        <is>
          <t>ANUAL</t>
        </is>
      </c>
      <c r="G28" s="128" t="inlineStr">
        <is>
          <t>Área SST, COPASST o VIGÍA</t>
        </is>
      </c>
      <c r="H28" s="124" t="inlineStr">
        <is>
          <t>Alta gerencia, área SST, COPASST o VIGÍA, CCL, brigadistas, trabajadores</t>
        </is>
      </c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123">
        <f>5/5*100%</f>
        <v/>
      </c>
      <c r="AF28" s="183" t="inlineStr">
        <is>
          <t>SI</t>
        </is>
      </c>
    </row>
    <row r="29" ht="33.75" customHeight="1" s="78">
      <c r="A29" s="128" t="inlineStr">
        <is>
          <t>EVALUACION DE LAS CONDICIONES DE SALUD</t>
        </is>
      </c>
      <c r="B29" s="128" t="inlineStr">
        <is>
          <t>Mide el nivel de salud de los trabajadores.</t>
        </is>
      </c>
      <c r="C29" s="129" t="n">
        <v>1</v>
      </c>
      <c r="D29" s="128" t="inlineStr">
        <is>
          <t>(# de trabajadores con evaluaciones medicas / #  total de trabajadores) X 100%</t>
        </is>
      </c>
      <c r="E29" s="130" t="inlineStr">
        <is>
          <t>Procedimiento de condiciones de salud</t>
        </is>
      </c>
      <c r="F29" s="131" t="inlineStr">
        <is>
          <t>MENSUAL</t>
        </is>
      </c>
      <c r="G29" s="128" t="inlineStr">
        <is>
          <t>Área SST, COPASST o VIGÍA</t>
        </is>
      </c>
      <c r="H29" s="124" t="inlineStr">
        <is>
          <t>Alta gerencia, área SST COPASST o VIGÍA</t>
        </is>
      </c>
      <c r="I29" s="123">
        <f>(6/6)*100%</f>
        <v/>
      </c>
      <c r="J29" s="50" t="inlineStr">
        <is>
          <t>SI</t>
        </is>
      </c>
      <c r="K29" s="123">
        <f>(5/5)*100%</f>
        <v/>
      </c>
      <c r="L29" s="111" t="inlineStr">
        <is>
          <t>SI</t>
        </is>
      </c>
      <c r="M29" s="123">
        <f>(4/4)*100%</f>
        <v/>
      </c>
      <c r="N29" s="111" t="inlineStr">
        <is>
          <t>SI</t>
        </is>
      </c>
      <c r="O29" s="123">
        <f>(4/4)*100%</f>
        <v/>
      </c>
      <c r="P29" s="111" t="inlineStr">
        <is>
          <t>SI</t>
        </is>
      </c>
      <c r="Q29" s="123">
        <f>(4/4)*100%</f>
        <v/>
      </c>
      <c r="R29" s="111" t="inlineStr">
        <is>
          <t>SI</t>
        </is>
      </c>
      <c r="S29" s="123">
        <f>(4/4)*100%</f>
        <v/>
      </c>
      <c r="T29" s="111" t="inlineStr">
        <is>
          <t>SI</t>
        </is>
      </c>
      <c r="U29" s="123">
        <f>(4/4)*100%</f>
        <v/>
      </c>
      <c r="V29" s="111" t="inlineStr">
        <is>
          <t>SI</t>
        </is>
      </c>
      <c r="W29" s="123">
        <f>(4/4)*100%</f>
        <v/>
      </c>
      <c r="X29" s="111" t="inlineStr">
        <is>
          <t>SI</t>
        </is>
      </c>
      <c r="Y29" s="123" t="n">
        <v>1</v>
      </c>
      <c r="Z29" s="111" t="inlineStr">
        <is>
          <t>SI</t>
        </is>
      </c>
      <c r="AA29" s="123">
        <f>1/1*100%</f>
        <v/>
      </c>
      <c r="AB29" s="111" t="inlineStr">
        <is>
          <t>SI</t>
        </is>
      </c>
      <c r="AC29" s="123" t="n">
        <v>1</v>
      </c>
      <c r="AD29" s="111" t="inlineStr">
        <is>
          <t>SI</t>
        </is>
      </c>
      <c r="AE29" s="123" t="n">
        <v>1</v>
      </c>
      <c r="AF29" s="183" t="inlineStr">
        <is>
          <t>SI</t>
        </is>
      </c>
    </row>
    <row r="30" ht="67.5" customHeight="1" s="78">
      <c r="A30" s="128" t="inlineStr">
        <is>
          <t>ACCIONES CORRECTIVAS Y PREVENTIVAS</t>
        </is>
      </c>
      <c r="B30" s="128" t="inlineStr">
        <is>
          <t>Mide el grado de medidas  que se toman con los hallazgos.</t>
        </is>
      </c>
      <c r="C30" s="129" t="n">
        <v>0.8</v>
      </c>
      <c r="D30" s="128" t="inlineStr">
        <is>
          <t>(# de acciones correctivas y preventivas cerradas / # de acciones correctivas y preventivas detectadas) X 100%</t>
        </is>
      </c>
      <c r="E30" s="130" t="inlineStr">
        <is>
          <t>Matriz IPEVR, inspecciones, investigaciones de AT y EL, reportes de actos y condiciones inseguras, auditorías</t>
        </is>
      </c>
      <c r="F30" s="131" t="inlineStr">
        <is>
          <t>ANUAL</t>
        </is>
      </c>
      <c r="G30" s="128" t="inlineStr">
        <is>
          <t>Alta gerencia, área SST, COPASST o VIGÍA</t>
        </is>
      </c>
      <c r="H30" s="124" t="inlineStr">
        <is>
          <t>Alta gerencia, área SST, COPASST o VIGÍA, CCL, brigadistas, trabajadores</t>
        </is>
      </c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  <c r="AB30" s="114" t="n"/>
      <c r="AC30" s="114" t="n"/>
      <c r="AD30" s="114" t="n"/>
      <c r="AE30" s="123">
        <f>6/7*100%</f>
        <v/>
      </c>
      <c r="AF30" s="183" t="inlineStr">
        <is>
          <t>SI</t>
        </is>
      </c>
    </row>
    <row r="31" ht="35.25" customHeight="1" s="78">
      <c r="A31" s="128" t="inlineStr">
        <is>
          <t>MEDICIONES AMBIENTALES</t>
        </is>
      </c>
      <c r="B31" s="128" t="inlineStr">
        <is>
          <t>Mide el grado de mediciones ambientales ejecutadas</t>
        </is>
      </c>
      <c r="C31" s="129" t="n">
        <v>1</v>
      </c>
      <c r="D31" s="128" t="inlineStr">
        <is>
          <t>(# de mediciones ambientales ejectuadas / # de mediciones ambientales planificadas) X 100%</t>
        </is>
      </c>
      <c r="E31" s="130" t="inlineStr">
        <is>
          <t>Matriz IPEVR, inspecciones.</t>
        </is>
      </c>
      <c r="F31" s="131" t="inlineStr">
        <is>
          <t>ANUAL</t>
        </is>
      </c>
      <c r="G31" s="128" t="inlineStr">
        <is>
          <t>Alta gerencia, área SST, COPASST o VIGÍA</t>
        </is>
      </c>
      <c r="H31" s="124" t="inlineStr">
        <is>
          <t>Alta gerencia, área SST, COPASST o VIGíA</t>
        </is>
      </c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  <c r="AB31" s="114" t="n"/>
      <c r="AC31" s="114" t="n"/>
      <c r="AD31" s="114" t="n"/>
      <c r="AE31" s="123" t="n">
        <v>0</v>
      </c>
      <c r="AF31" s="183" t="inlineStr">
        <is>
          <t>NO</t>
        </is>
      </c>
    </row>
    <row r="32" ht="64.5" customHeight="1" s="78">
      <c r="A32" s="128" t="inlineStr">
        <is>
          <t>PROGRAMAS DE VIGILANCIA EPIDEMIOLOGICA</t>
        </is>
      </c>
      <c r="B32" s="128" t="inlineStr">
        <is>
          <t>Mide la intervención de aquellos peligros que generan enfermedades.</t>
        </is>
      </c>
      <c r="C32" s="129" t="n">
        <v>1</v>
      </c>
      <c r="D32" s="128" t="inlineStr">
        <is>
          <t>(# PVE ejecutados / # PVE requeridos) X 100%</t>
        </is>
      </c>
      <c r="E32" s="130" t="inlineStr">
        <is>
          <t>Diagnóstico de Salud, perfil sociodemográfico, Matriz IPEVR</t>
        </is>
      </c>
      <c r="F32" s="131" t="inlineStr">
        <is>
          <t>ANUAL</t>
        </is>
      </c>
      <c r="G32" s="128" t="inlineStr">
        <is>
          <t>Área SST, COPASST o VIGÍA</t>
        </is>
      </c>
      <c r="H32" s="124" t="inlineStr">
        <is>
          <t>Alta gerencia, área SST, COPASST o VIGÍA, CCL, brigadistas, trabajadores</t>
        </is>
      </c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23">
        <f>5/5*100%</f>
        <v/>
      </c>
      <c r="AF32" s="183" t="inlineStr">
        <is>
          <t>SI</t>
        </is>
      </c>
    </row>
    <row r="33" ht="41.25" customHeight="1" s="78">
      <c r="A33" s="128" t="inlineStr">
        <is>
          <t>REPORTE E INVESTIGACIÓN DE LOS INCIDENTES, ACCIDENTES Y ENFERMEDADES LABORALES</t>
        </is>
      </c>
      <c r="B33" s="128" t="inlineStr">
        <is>
          <t>Cumplimiento del proceso de reporte e investigación de los incidentes, accidentes y enfermedades laborales</t>
        </is>
      </c>
      <c r="C33" s="129" t="n">
        <v>0</v>
      </c>
      <c r="D33" s="128" t="inlineStr">
        <is>
          <t>(# de incidentes ocurridos / # de incidentes investigados) X 100%</t>
        </is>
      </c>
      <c r="E33" s="130" t="inlineStr">
        <is>
          <t>Reporte de incidentes</t>
        </is>
      </c>
      <c r="F33" s="131" t="inlineStr">
        <is>
          <t>MENSUAL</t>
        </is>
      </c>
      <c r="G33" s="128" t="inlineStr">
        <is>
          <t>Área SST, COPASST o VIGÍA</t>
        </is>
      </c>
      <c r="H33" s="124" t="inlineStr">
        <is>
          <t>Alta gerencia, área SST, COPASST o VIGÍA, CCL, brigadistas, trabajadores</t>
        </is>
      </c>
      <c r="I33" s="87">
        <f>(0/1)*100%</f>
        <v/>
      </c>
      <c r="J33" s="111" t="inlineStr">
        <is>
          <t>SI</t>
        </is>
      </c>
      <c r="K33" s="123">
        <f>0/1*100%</f>
        <v/>
      </c>
      <c r="L33" s="111" t="inlineStr">
        <is>
          <t>SI</t>
        </is>
      </c>
      <c r="M33" s="123" t="n">
        <v>0</v>
      </c>
      <c r="N33" s="111" t="inlineStr">
        <is>
          <t>SI</t>
        </is>
      </c>
      <c r="O33" s="123" t="n">
        <v>0</v>
      </c>
      <c r="P33" s="111" t="inlineStr">
        <is>
          <t>SI</t>
        </is>
      </c>
      <c r="Q33" s="123">
        <f>(0/1)*100%</f>
        <v/>
      </c>
      <c r="R33" s="111" t="inlineStr">
        <is>
          <t>SI</t>
        </is>
      </c>
      <c r="S33" s="123">
        <f>(0/1)*100%</f>
        <v/>
      </c>
      <c r="T33" s="111" t="inlineStr">
        <is>
          <t>SI</t>
        </is>
      </c>
      <c r="U33" s="123">
        <f>(0/1)*100%</f>
        <v/>
      </c>
      <c r="V33" s="111" t="inlineStr">
        <is>
          <t>SI</t>
        </is>
      </c>
      <c r="W33" s="123">
        <f>(0/1)*100%</f>
        <v/>
      </c>
      <c r="X33" s="111" t="inlineStr">
        <is>
          <t>SI</t>
        </is>
      </c>
      <c r="Y33" s="123" t="n">
        <v>0</v>
      </c>
      <c r="Z33" s="111" t="inlineStr">
        <is>
          <t>SI</t>
        </is>
      </c>
      <c r="AA33" s="123" t="n">
        <v>0</v>
      </c>
      <c r="AB33" s="111" t="inlineStr">
        <is>
          <t>SI</t>
        </is>
      </c>
      <c r="AC33" s="123" t="n">
        <v>0</v>
      </c>
      <c r="AD33" s="111" t="inlineStr">
        <is>
          <t>SI</t>
        </is>
      </c>
      <c r="AE33" s="123" t="n">
        <v>0</v>
      </c>
      <c r="AF33" s="183" t="inlineStr">
        <is>
          <t>SI</t>
        </is>
      </c>
    </row>
    <row r="34" ht="41.25" customHeight="1" s="78">
      <c r="A34" s="189" t="n"/>
      <c r="B34" s="189" t="n"/>
      <c r="C34" s="189" t="n"/>
      <c r="D34" s="128" t="inlineStr">
        <is>
          <t>(# de accidentes ocurridos / # de accidentes reportados) X 100%</t>
        </is>
      </c>
      <c r="E34" s="130" t="inlineStr">
        <is>
          <t>Reportes de accidentes de trabajo</t>
        </is>
      </c>
      <c r="F34" s="131" t="inlineStr">
        <is>
          <t>MENSUAL</t>
        </is>
      </c>
      <c r="G34" s="128" t="inlineStr">
        <is>
          <t>Área SST, COPASST o VIGÍA</t>
        </is>
      </c>
      <c r="H34" s="124" t="inlineStr">
        <is>
          <t>Alta gerencia, área SST, COPASST o VIGÍA, CCL, brigadistas, trabajadores</t>
        </is>
      </c>
      <c r="I34" s="123">
        <f>(0/1)*100%</f>
        <v/>
      </c>
      <c r="J34" s="111" t="inlineStr">
        <is>
          <t>SI</t>
        </is>
      </c>
      <c r="K34" s="123">
        <f>1/1*100%</f>
        <v/>
      </c>
      <c r="L34" s="111" t="inlineStr">
        <is>
          <t>NO</t>
        </is>
      </c>
      <c r="M34" s="123" t="n">
        <v>0</v>
      </c>
      <c r="N34" s="111" t="inlineStr">
        <is>
          <t>SI</t>
        </is>
      </c>
      <c r="O34" s="123">
        <f>1/1*100%</f>
        <v/>
      </c>
      <c r="P34" s="111" t="inlineStr">
        <is>
          <t>SI</t>
        </is>
      </c>
      <c r="Q34" s="123">
        <f>(0/1)*100%</f>
        <v/>
      </c>
      <c r="R34" s="111" t="inlineStr">
        <is>
          <t>SI</t>
        </is>
      </c>
      <c r="S34" s="123">
        <f>(0/1)*100%</f>
        <v/>
      </c>
      <c r="T34" s="111" t="inlineStr">
        <is>
          <t>SI</t>
        </is>
      </c>
      <c r="U34" s="123">
        <f>(0/1)*100%</f>
        <v/>
      </c>
      <c r="V34" s="111" t="inlineStr">
        <is>
          <t>SI</t>
        </is>
      </c>
      <c r="W34" s="123">
        <f>(0/1)*100%</f>
        <v/>
      </c>
      <c r="X34" s="111" t="inlineStr">
        <is>
          <t>SI</t>
        </is>
      </c>
      <c r="Y34" s="123" t="n">
        <v>0</v>
      </c>
      <c r="Z34" s="111" t="inlineStr">
        <is>
          <t>SI</t>
        </is>
      </c>
      <c r="AA34" s="123">
        <f>1/1*100%</f>
        <v/>
      </c>
      <c r="AB34" s="111" t="inlineStr">
        <is>
          <t>NO</t>
        </is>
      </c>
      <c r="AC34" s="123" t="n">
        <v>0</v>
      </c>
      <c r="AD34" s="111" t="inlineStr">
        <is>
          <t>SI</t>
        </is>
      </c>
      <c r="AE34" s="123" t="n">
        <v>0</v>
      </c>
      <c r="AF34" s="183" t="inlineStr">
        <is>
          <t>SI</t>
        </is>
      </c>
    </row>
    <row r="35" ht="41.25" customHeight="1" s="78">
      <c r="A35" s="189" t="n"/>
      <c r="B35" s="189" t="n"/>
      <c r="C35" s="189" t="n"/>
      <c r="D35" s="128" t="inlineStr">
        <is>
          <t>(# de accidentes investigados / # de accidentes reportados) X 100%</t>
        </is>
      </c>
      <c r="E35" s="130" t="inlineStr">
        <is>
          <t>Reportes de accidentes de trabajo</t>
        </is>
      </c>
      <c r="F35" s="131" t="inlineStr">
        <is>
          <t>MENSUAL</t>
        </is>
      </c>
      <c r="G35" s="128" t="inlineStr">
        <is>
          <t>Área SST, COPASST o VIGÍA</t>
        </is>
      </c>
      <c r="H35" s="124" t="inlineStr">
        <is>
          <t>Alta gerencia, área SST, COPASST o VIGÍA, CCL, brigadistas, trabajadores</t>
        </is>
      </c>
      <c r="I35" s="123">
        <f>(0/1)*100%</f>
        <v/>
      </c>
      <c r="J35" s="111" t="inlineStr">
        <is>
          <t>SI</t>
        </is>
      </c>
      <c r="K35" s="123">
        <f>1/1*100%</f>
        <v/>
      </c>
      <c r="L35" s="111" t="inlineStr">
        <is>
          <t>NO</t>
        </is>
      </c>
      <c r="M35" s="123" t="n">
        <v>0</v>
      </c>
      <c r="N35" s="111" t="inlineStr">
        <is>
          <t>SI</t>
        </is>
      </c>
      <c r="O35" s="123">
        <f>(0/1)*100%</f>
        <v/>
      </c>
      <c r="P35" s="111" t="inlineStr">
        <is>
          <t>SI</t>
        </is>
      </c>
      <c r="Q35" s="123">
        <f>(0/1)*100%</f>
        <v/>
      </c>
      <c r="R35" s="111" t="inlineStr">
        <is>
          <t>SI</t>
        </is>
      </c>
      <c r="S35" s="123">
        <f>(0/1)*100%</f>
        <v/>
      </c>
      <c r="T35" s="111" t="inlineStr">
        <is>
          <t>SI</t>
        </is>
      </c>
      <c r="U35" s="123">
        <f>(0/1)*100%</f>
        <v/>
      </c>
      <c r="V35" s="111" t="inlineStr">
        <is>
          <t>SI</t>
        </is>
      </c>
      <c r="W35" s="123">
        <f>(0/1)*100%</f>
        <v/>
      </c>
      <c r="X35" s="111" t="inlineStr">
        <is>
          <t>SI</t>
        </is>
      </c>
      <c r="Y35" s="123" t="n">
        <v>0</v>
      </c>
      <c r="Z35" s="111" t="inlineStr">
        <is>
          <t>SI</t>
        </is>
      </c>
      <c r="AA35" s="123">
        <f>1/1*100%</f>
        <v/>
      </c>
      <c r="AB35" s="111" t="inlineStr">
        <is>
          <t>NO</t>
        </is>
      </c>
      <c r="AC35" s="123" t="n">
        <v>0</v>
      </c>
      <c r="AD35" s="111" t="inlineStr">
        <is>
          <t>SI</t>
        </is>
      </c>
      <c r="AE35" s="123" t="n">
        <v>0</v>
      </c>
      <c r="AF35" s="183" t="inlineStr">
        <is>
          <t>SI</t>
        </is>
      </c>
    </row>
    <row r="36" ht="41.25" customHeight="1" s="78">
      <c r="A36" s="189" t="n"/>
      <c r="B36" s="189" t="n"/>
      <c r="C36" s="189" t="n"/>
      <c r="D36" s="128" t="inlineStr">
        <is>
          <t>(# de enfermedades laborales ocurridos / # de enfermedades laborales reportados) X 100%</t>
        </is>
      </c>
      <c r="E36" s="130" t="inlineStr">
        <is>
          <t xml:space="preserve">Reportes de enfermedades laborales  </t>
        </is>
      </c>
      <c r="F36" s="131" t="inlineStr">
        <is>
          <t>MENSUAL</t>
        </is>
      </c>
      <c r="G36" s="128" t="inlineStr">
        <is>
          <t>Área SST, COPASST o VIGÍA</t>
        </is>
      </c>
      <c r="H36" s="124" t="inlineStr">
        <is>
          <t>Alta gerencia, área SST, COPASST o VIGÍA, CCL, brigadistas, trabajadores</t>
        </is>
      </c>
      <c r="I36" s="123">
        <f>(0/1)*100%</f>
        <v/>
      </c>
      <c r="J36" s="111" t="inlineStr">
        <is>
          <t>SI</t>
        </is>
      </c>
      <c r="K36" s="123">
        <f>0/1*100%</f>
        <v/>
      </c>
      <c r="L36" s="111" t="inlineStr">
        <is>
          <t>SI</t>
        </is>
      </c>
      <c r="M36" s="123" t="n">
        <v>0</v>
      </c>
      <c r="N36" s="111" t="inlineStr">
        <is>
          <t>SI</t>
        </is>
      </c>
      <c r="O36" s="123">
        <f>(0/1)*100%</f>
        <v/>
      </c>
      <c r="P36" s="111" t="inlineStr">
        <is>
          <t>SI</t>
        </is>
      </c>
      <c r="Q36" s="123">
        <f>(0/1)*100%</f>
        <v/>
      </c>
      <c r="R36" s="111" t="inlineStr">
        <is>
          <t>SI</t>
        </is>
      </c>
      <c r="S36" s="123">
        <f>(0/1)*100%</f>
        <v/>
      </c>
      <c r="T36" s="111" t="inlineStr">
        <is>
          <t>SI</t>
        </is>
      </c>
      <c r="U36" s="123">
        <f>(0/1)*100%</f>
        <v/>
      </c>
      <c r="V36" s="111" t="inlineStr">
        <is>
          <t>SI</t>
        </is>
      </c>
      <c r="W36" s="123">
        <f>(0/1)*100%</f>
        <v/>
      </c>
      <c r="X36" s="111" t="inlineStr">
        <is>
          <t>SI</t>
        </is>
      </c>
      <c r="Y36" s="123" t="n">
        <v>0</v>
      </c>
      <c r="Z36" s="111" t="inlineStr">
        <is>
          <t>SI</t>
        </is>
      </c>
      <c r="AA36" s="123" t="n">
        <v>0</v>
      </c>
      <c r="AB36" s="111" t="inlineStr">
        <is>
          <t>SI</t>
        </is>
      </c>
      <c r="AC36" s="123" t="n">
        <v>0</v>
      </c>
      <c r="AD36" s="111" t="inlineStr">
        <is>
          <t>SI</t>
        </is>
      </c>
      <c r="AE36" s="123" t="n">
        <v>0</v>
      </c>
      <c r="AF36" s="183" t="inlineStr">
        <is>
          <t>SI</t>
        </is>
      </c>
    </row>
    <row r="37" ht="41.25" customHeight="1" s="78">
      <c r="A37" s="192" t="n"/>
      <c r="B37" s="192" t="n"/>
      <c r="C37" s="192" t="n"/>
      <c r="D37" s="128" t="inlineStr">
        <is>
          <t>(#  de enfermedades laborales investigados / # de enfermedades laborales reportados) X 100%</t>
        </is>
      </c>
      <c r="E37" s="130" t="inlineStr">
        <is>
          <t xml:space="preserve">Reportes de enfermedades laborales  </t>
        </is>
      </c>
      <c r="F37" s="131" t="inlineStr">
        <is>
          <t>MENSUAL</t>
        </is>
      </c>
      <c r="G37" s="128" t="inlineStr">
        <is>
          <t>Área SST, COPASST o VIGÍA</t>
        </is>
      </c>
      <c r="H37" s="124" t="inlineStr">
        <is>
          <t>Alta gerencia, área SST, COPASST o VIGÍA, CCL, brigadistas, trabajadores</t>
        </is>
      </c>
      <c r="I37" s="123">
        <f>(0/1)*100%</f>
        <v/>
      </c>
      <c r="J37" s="111" t="inlineStr">
        <is>
          <t>SI</t>
        </is>
      </c>
      <c r="K37" s="123">
        <f>0/1*100%</f>
        <v/>
      </c>
      <c r="L37" s="111" t="inlineStr">
        <is>
          <t>SI</t>
        </is>
      </c>
      <c r="M37" s="123" t="n">
        <v>0</v>
      </c>
      <c r="N37" s="111" t="inlineStr">
        <is>
          <t>SI</t>
        </is>
      </c>
      <c r="O37" s="123">
        <f>(0/1)*100%</f>
        <v/>
      </c>
      <c r="P37" s="111" t="inlineStr">
        <is>
          <t>SI</t>
        </is>
      </c>
      <c r="Q37" s="123">
        <f>(0/1)*100%</f>
        <v/>
      </c>
      <c r="R37" s="111" t="inlineStr">
        <is>
          <t>SI</t>
        </is>
      </c>
      <c r="S37" s="123">
        <f>(0/1)*100%</f>
        <v/>
      </c>
      <c r="T37" s="111" t="inlineStr">
        <is>
          <t>SI</t>
        </is>
      </c>
      <c r="U37" s="123">
        <f>(0/1)*100%</f>
        <v/>
      </c>
      <c r="V37" s="111" t="inlineStr">
        <is>
          <t>SI</t>
        </is>
      </c>
      <c r="W37" s="123">
        <f>(0/1)*100%</f>
        <v/>
      </c>
      <c r="X37" s="111" t="inlineStr">
        <is>
          <t>SI</t>
        </is>
      </c>
      <c r="Y37" s="123" t="n">
        <v>0</v>
      </c>
      <c r="Z37" s="111" t="inlineStr">
        <is>
          <t>SI</t>
        </is>
      </c>
      <c r="AA37" s="123" t="n">
        <v>0</v>
      </c>
      <c r="AB37" s="111" t="inlineStr">
        <is>
          <t>SI</t>
        </is>
      </c>
      <c r="AC37" s="123" t="n">
        <v>0</v>
      </c>
      <c r="AD37" s="111" t="inlineStr">
        <is>
          <t>SI</t>
        </is>
      </c>
      <c r="AE37" s="123" t="n">
        <v>0</v>
      </c>
      <c r="AF37" s="183" t="inlineStr">
        <is>
          <t>SI</t>
        </is>
      </c>
    </row>
    <row r="38" ht="48" customHeight="1" s="78">
      <c r="A38" s="128" t="inlineStr">
        <is>
          <t>REGISTROS ESTADISTICOS DE INCIDENTES, ACCIDENTES DE TRABAJO Y ENFERMEDAD LABORAL</t>
        </is>
      </c>
      <c r="B38" s="128" t="inlineStr">
        <is>
          <t xml:space="preserve">Mide si la organización registra los accidentes, enfermedades e incidentes y ausentismo laboral por enfermedad </t>
        </is>
      </c>
      <c r="C38" s="129" t="n">
        <v>1</v>
      </c>
      <c r="D38" s="128" t="inlineStr">
        <is>
          <t>(# de eventos registrados / # de eventos presentados) X 100%</t>
        </is>
      </c>
      <c r="E38" s="130" t="inlineStr">
        <is>
          <t>Reportes.</t>
        </is>
      </c>
      <c r="F38" s="131" t="inlineStr">
        <is>
          <t>MENSUAL</t>
        </is>
      </c>
      <c r="G38" s="128" t="inlineStr">
        <is>
          <t>Área SST, COPASST o VIGÍA</t>
        </is>
      </c>
      <c r="H38" s="124" t="inlineStr">
        <is>
          <t>Alta gerencia, área SST, COPASST o VIGÍA, CCL, brigadistas, trabajadores</t>
        </is>
      </c>
      <c r="I38" s="123">
        <f>(0/1)*100%</f>
        <v/>
      </c>
      <c r="J38" s="111" t="inlineStr">
        <is>
          <t>SI</t>
        </is>
      </c>
      <c r="K38" s="123">
        <f>(1/1)*100%</f>
        <v/>
      </c>
      <c r="L38" s="111" t="inlineStr">
        <is>
          <t>SI</t>
        </is>
      </c>
      <c r="M38" s="123" t="n">
        <v>0</v>
      </c>
      <c r="N38" s="111" t="inlineStr">
        <is>
          <t>SI</t>
        </is>
      </c>
      <c r="O38" s="123">
        <f>(0/1)*100%</f>
        <v/>
      </c>
      <c r="P38" s="111" t="inlineStr">
        <is>
          <t>SI</t>
        </is>
      </c>
      <c r="Q38" s="123">
        <f>(0/1)*100%</f>
        <v/>
      </c>
      <c r="R38" s="111" t="inlineStr">
        <is>
          <t>SI</t>
        </is>
      </c>
      <c r="S38" s="123">
        <f>(0/1)*100%</f>
        <v/>
      </c>
      <c r="T38" s="111" t="inlineStr">
        <is>
          <t>SI</t>
        </is>
      </c>
      <c r="U38" s="123">
        <f>(0/1)*100%</f>
        <v/>
      </c>
      <c r="V38" s="111" t="inlineStr">
        <is>
          <t>SI</t>
        </is>
      </c>
      <c r="W38" s="123">
        <f>(0/1)*100%</f>
        <v/>
      </c>
      <c r="X38" s="111" t="inlineStr">
        <is>
          <t>SI</t>
        </is>
      </c>
      <c r="Y38" s="123" t="n">
        <v>0</v>
      </c>
      <c r="Z38" s="111" t="inlineStr">
        <is>
          <t>SI</t>
        </is>
      </c>
      <c r="AA38" s="123" t="n">
        <v>0</v>
      </c>
      <c r="AB38" s="111" t="inlineStr">
        <is>
          <t>SI</t>
        </is>
      </c>
      <c r="AC38" s="123" t="n">
        <v>0</v>
      </c>
      <c r="AD38" s="111" t="inlineStr">
        <is>
          <t>SI</t>
        </is>
      </c>
      <c r="AE38" s="123" t="n">
        <v>0</v>
      </c>
      <c r="AF38" s="183" t="inlineStr">
        <is>
          <t>SI</t>
        </is>
      </c>
    </row>
    <row r="39" ht="18" customHeight="1" s="78">
      <c r="A39" s="128" t="inlineStr">
        <is>
          <t>EJECUCION DEL PLAN DE PREVENCIÓN, PREPARACIÓN Y RESPUESTA ANTE EMERGENCIAS</t>
        </is>
      </c>
      <c r="B39" s="128" t="inlineStr">
        <is>
          <t>Mide el grado de implementación deL PPPRAE</t>
        </is>
      </c>
      <c r="C39" s="129" t="n">
        <v>0.8</v>
      </c>
      <c r="D39" s="128" t="inlineStr">
        <is>
          <t>(# de actividades del PPPRAE ejecutadas / # de actividades del PPPRAE planificadas) X 100%</t>
        </is>
      </c>
      <c r="E39" s="130" t="inlineStr">
        <is>
          <t>PPPRAE                                                    Plan de trabajo anual                    Plan de capacitación anual</t>
        </is>
      </c>
      <c r="F39" s="131" t="inlineStr">
        <is>
          <t>SEMESTRAL</t>
        </is>
      </c>
      <c r="G39" s="128" t="inlineStr">
        <is>
          <t>Área SST, COPASST o VIGÍA, brigadistas</t>
        </is>
      </c>
      <c r="H39" s="124" t="inlineStr">
        <is>
          <t>Alta gerencia, área SST, COPASST o VIGÍA, brigadistas, trabajadores</t>
        </is>
      </c>
      <c r="I39" s="114" t="n"/>
      <c r="J39" s="114" t="n"/>
      <c r="K39" s="114" t="n"/>
      <c r="L39" s="114" t="n"/>
      <c r="M39" s="114" t="n"/>
      <c r="N39" s="114" t="n"/>
      <c r="O39" s="87">
        <f>(1/1)*100%</f>
        <v/>
      </c>
      <c r="P39" s="183" t="inlineStr">
        <is>
          <t>SI</t>
        </is>
      </c>
      <c r="Q39" s="114" t="n"/>
      <c r="R39" s="105" t="n"/>
      <c r="S39" s="98" t="n"/>
      <c r="T39" s="98" t="n"/>
      <c r="U39" s="114" t="n"/>
      <c r="V39" s="105" t="n"/>
      <c r="W39" s="114" t="n"/>
      <c r="X39" s="114" t="n"/>
      <c r="Y39" s="114" t="n"/>
      <c r="Z39" s="114" t="n"/>
      <c r="AA39" s="87">
        <f>1/1*100%</f>
        <v/>
      </c>
      <c r="AB39" s="183" t="inlineStr">
        <is>
          <t>SI</t>
        </is>
      </c>
      <c r="AC39" s="114" t="n"/>
      <c r="AD39" s="105" t="n"/>
      <c r="AE39" s="98" t="n"/>
      <c r="AF39" s="114" t="n"/>
    </row>
    <row r="40">
      <c r="A40" s="189" t="n"/>
      <c r="B40" s="189" t="n"/>
      <c r="C40" s="189" t="n"/>
      <c r="D40" s="189" t="n"/>
      <c r="E40" s="189" t="n"/>
      <c r="F40" s="189" t="n"/>
      <c r="G40" s="189" t="n"/>
      <c r="H40" s="189" t="n"/>
      <c r="I40" s="189" t="n"/>
      <c r="J40" s="189" t="n"/>
      <c r="K40" s="189" t="n"/>
      <c r="L40" s="189" t="n"/>
      <c r="M40" s="189" t="n"/>
      <c r="N40" s="189" t="n"/>
      <c r="O40" s="189" t="n"/>
      <c r="P40" s="189" t="n"/>
      <c r="Q40" s="189" t="n"/>
      <c r="R40" s="106" t="n"/>
      <c r="S40" s="189" t="n"/>
      <c r="T40" s="189" t="n"/>
      <c r="U40" s="189" t="n"/>
      <c r="V40" s="106" t="n"/>
      <c r="W40" s="189" t="n"/>
      <c r="X40" s="189" t="n"/>
      <c r="Y40" s="189" t="n"/>
      <c r="Z40" s="189" t="n"/>
      <c r="AA40" s="189" t="n"/>
      <c r="AB40" s="189" t="n"/>
      <c r="AC40" s="189" t="n"/>
      <c r="AD40" s="106" t="n"/>
      <c r="AE40" s="189" t="n"/>
      <c r="AF40" s="189" t="n"/>
    </row>
    <row r="41">
      <c r="A41" s="189" t="n"/>
      <c r="B41" s="189" t="n"/>
      <c r="C41" s="189" t="n"/>
      <c r="D41" s="189" t="n"/>
      <c r="E41" s="189" t="n"/>
      <c r="F41" s="189" t="n"/>
      <c r="G41" s="189" t="n"/>
      <c r="H41" s="189" t="n"/>
      <c r="I41" s="189" t="n"/>
      <c r="J41" s="189" t="n"/>
      <c r="K41" s="189" t="n"/>
      <c r="L41" s="189" t="n"/>
      <c r="M41" s="189" t="n"/>
      <c r="N41" s="189" t="n"/>
      <c r="O41" s="189" t="n"/>
      <c r="P41" s="189" t="n"/>
      <c r="Q41" s="189" t="n"/>
      <c r="R41" s="106" t="n"/>
      <c r="S41" s="189" t="n"/>
      <c r="T41" s="189" t="n"/>
      <c r="U41" s="189" t="n"/>
      <c r="V41" s="106" t="n"/>
      <c r="W41" s="189" t="n"/>
      <c r="X41" s="189" t="n"/>
      <c r="Y41" s="189" t="n"/>
      <c r="Z41" s="189" t="n"/>
      <c r="AA41" s="189" t="n"/>
      <c r="AB41" s="189" t="n"/>
      <c r="AC41" s="189" t="n"/>
      <c r="AD41" s="106" t="n"/>
      <c r="AE41" s="189" t="n"/>
      <c r="AF41" s="189" t="n"/>
    </row>
    <row r="42">
      <c r="A42" s="189" t="n"/>
      <c r="B42" s="189" t="n"/>
      <c r="C42" s="189" t="n"/>
      <c r="D42" s="189" t="n"/>
      <c r="E42" s="189" t="n"/>
      <c r="F42" s="189" t="n"/>
      <c r="G42" s="189" t="n"/>
      <c r="H42" s="189" t="n"/>
      <c r="I42" s="189" t="n"/>
      <c r="J42" s="189" t="n"/>
      <c r="K42" s="189" t="n"/>
      <c r="L42" s="189" t="n"/>
      <c r="M42" s="189" t="n"/>
      <c r="N42" s="189" t="n"/>
      <c r="O42" s="189" t="n"/>
      <c r="P42" s="189" t="n"/>
      <c r="Q42" s="189" t="n"/>
      <c r="R42" s="106" t="n"/>
      <c r="S42" s="189" t="n"/>
      <c r="T42" s="189" t="n"/>
      <c r="U42" s="189" t="n"/>
      <c r="V42" s="106" t="n"/>
      <c r="W42" s="189" t="n"/>
      <c r="X42" s="189" t="n"/>
      <c r="Y42" s="189" t="n"/>
      <c r="Z42" s="189" t="n"/>
      <c r="AA42" s="189" t="n"/>
      <c r="AB42" s="189" t="n"/>
      <c r="AC42" s="189" t="n"/>
      <c r="AD42" s="106" t="n"/>
      <c r="AE42" s="189" t="n"/>
      <c r="AF42" s="189" t="n"/>
    </row>
    <row r="43">
      <c r="A43" s="192" t="n"/>
      <c r="B43" s="192" t="n"/>
      <c r="C43" s="192" t="n"/>
      <c r="D43" s="192" t="n"/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  <c r="R43" s="107" t="n"/>
      <c r="S43" s="192" t="n"/>
      <c r="T43" s="192" t="n"/>
      <c r="U43" s="192" t="n"/>
      <c r="V43" s="107" t="n"/>
      <c r="W43" s="192" t="n"/>
      <c r="X43" s="192" t="n"/>
      <c r="Y43" s="192" t="n"/>
      <c r="Z43" s="192" t="n"/>
      <c r="AA43" s="192" t="n"/>
      <c r="AB43" s="192" t="n"/>
      <c r="AC43" s="192" t="n"/>
      <c r="AD43" s="107" t="n"/>
      <c r="AE43" s="192" t="n"/>
      <c r="AF43" s="192" t="n"/>
    </row>
    <row r="44" ht="56.25" customHeight="1" s="78">
      <c r="A44" s="131" t="inlineStr">
        <is>
          <t>ESTRATEGIA DE CONSERVACIÓN DE LOS DOCUMENTOS</t>
        </is>
      </c>
      <c r="B44" s="128" t="inlineStr">
        <is>
          <t>Mide si la organización conserva de forma organizada y eficiente los documentos del SG-SST de acuerdo al artículo 2.2.4.6.12 del Decreto 1072/2015</t>
        </is>
      </c>
      <c r="C44" s="129" t="inlineStr">
        <is>
          <t>SI</t>
        </is>
      </c>
      <c r="D44" s="128" t="inlineStr">
        <is>
          <t>Se estableció en la empresa una metodología que conserve los documentos del SG-SST de forma digital y/o magnética de manera eficiente (si o no)</t>
        </is>
      </c>
      <c r="E44" s="130" t="inlineStr">
        <is>
          <t>Registros físicos y digitales</t>
        </is>
      </c>
      <c r="F44" s="131" t="inlineStr">
        <is>
          <t>ANUAL</t>
        </is>
      </c>
      <c r="G44" s="128" t="inlineStr">
        <is>
          <t>Área SST</t>
        </is>
      </c>
      <c r="H44" s="124" t="inlineStr">
        <is>
          <t>Alta gerencia, área SST, COPASST o VIGÍA, CCL, brigadistas, trabajadores</t>
        </is>
      </c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  <c r="AB44" s="114" t="n"/>
      <c r="AC44" s="114" t="n"/>
      <c r="AD44" s="114" t="n"/>
      <c r="AE44" s="111" t="inlineStr">
        <is>
          <t>SI</t>
        </is>
      </c>
      <c r="AF44" s="183" t="inlineStr">
        <is>
          <t>SI</t>
        </is>
      </c>
    </row>
    <row r="45">
      <c r="A45" s="1" t="n"/>
      <c r="B45" s="1" t="n"/>
      <c r="C45" s="4" t="n"/>
      <c r="D45" s="1" t="n"/>
      <c r="E45" s="3" t="n"/>
      <c r="F45" s="5" t="n"/>
      <c r="G45" s="1" t="n"/>
    </row>
    <row r="46" ht="20.25" customHeight="1" s="78">
      <c r="A46" s="125" t="inlineStr">
        <is>
          <t>INDICADORES DE RESULTADO 2026</t>
        </is>
      </c>
      <c r="B46" s="187" t="n"/>
      <c r="C46" s="187" t="n"/>
      <c r="D46" s="187" t="n"/>
      <c r="E46" s="187" t="n"/>
      <c r="F46" s="187" t="n"/>
      <c r="G46" s="187" t="n"/>
      <c r="H46" s="188" t="n"/>
      <c r="I46" s="122" t="inlineStr">
        <is>
          <t>AÑO: 2026</t>
        </is>
      </c>
      <c r="J46" s="187" t="n"/>
      <c r="K46" s="187" t="n"/>
      <c r="L46" s="187" t="n"/>
      <c r="M46" s="187" t="n"/>
      <c r="N46" s="187" t="n"/>
      <c r="O46" s="187" t="n"/>
      <c r="P46" s="187" t="n"/>
      <c r="Q46" s="187" t="n"/>
      <c r="R46" s="187" t="n"/>
      <c r="S46" s="187" t="n"/>
      <c r="T46" s="187" t="n"/>
      <c r="U46" s="187" t="n"/>
      <c r="V46" s="187" t="n"/>
      <c r="W46" s="187" t="n"/>
      <c r="X46" s="187" t="n"/>
      <c r="Y46" s="187" t="n"/>
      <c r="Z46" s="187" t="n"/>
      <c r="AA46" s="187" t="n"/>
      <c r="AB46" s="187" t="n"/>
      <c r="AC46" s="187" t="n"/>
      <c r="AD46" s="187" t="n"/>
      <c r="AE46" s="187" t="n"/>
      <c r="AF46" s="188" t="n"/>
    </row>
    <row r="47" ht="22.5" customHeight="1" s="78">
      <c r="A47" s="34" t="inlineStr">
        <is>
          <t>DEFINICION DEL INDICADOR</t>
        </is>
      </c>
      <c r="B47" s="34" t="inlineStr">
        <is>
          <t>INTERPRETACION</t>
        </is>
      </c>
      <c r="C47" s="34" t="inlineStr">
        <is>
          <t>LIMITE DEL INDICADOR</t>
        </is>
      </c>
      <c r="D47" s="34" t="inlineStr">
        <is>
          <t>METODO DE CALCULO</t>
        </is>
      </c>
      <c r="E47" s="34" t="inlineStr">
        <is>
          <t>FUENTE DE INFORMACION</t>
        </is>
      </c>
      <c r="F47" s="34" t="inlineStr">
        <is>
          <t>PERIODICIDAD</t>
        </is>
      </c>
      <c r="G47" s="34" t="inlineStr">
        <is>
          <t>RESPONSABLE</t>
        </is>
      </c>
      <c r="H47" s="34" t="inlineStr">
        <is>
          <t>COMUNICARLO A :</t>
        </is>
      </c>
      <c r="I47" s="34" t="inlineStr">
        <is>
          <t>ENERO</t>
        </is>
      </c>
      <c r="J47" s="34" t="inlineStr">
        <is>
          <t>CUMPLIMIENTO (SI/NO)</t>
        </is>
      </c>
      <c r="K47" s="34" t="inlineStr">
        <is>
          <t>FEBRERO</t>
        </is>
      </c>
      <c r="L47" s="34" t="inlineStr">
        <is>
          <t>CUMPLIMIENTO (SI/NO)</t>
        </is>
      </c>
      <c r="M47" s="34" t="inlineStr">
        <is>
          <t>MARZO</t>
        </is>
      </c>
      <c r="N47" s="34" t="inlineStr">
        <is>
          <t>CUMPLIMIENTO (SI/NO)</t>
        </is>
      </c>
      <c r="O47" s="34" t="inlineStr">
        <is>
          <t>ABRIL</t>
        </is>
      </c>
      <c r="P47" s="34" t="inlineStr">
        <is>
          <t>CUMPLIMIENTO (SI/NO)</t>
        </is>
      </c>
      <c r="Q47" s="34" t="inlineStr">
        <is>
          <t>MAYO</t>
        </is>
      </c>
      <c r="R47" s="34" t="inlineStr">
        <is>
          <t>CUMPLIMIENTO (SI/NO)</t>
        </is>
      </c>
      <c r="S47" s="34" t="inlineStr">
        <is>
          <t>JUNIO</t>
        </is>
      </c>
      <c r="T47" s="34" t="inlineStr">
        <is>
          <t>CUMPLIMIENTO (SI/NO)</t>
        </is>
      </c>
      <c r="U47" s="34" t="inlineStr">
        <is>
          <t>JULIO</t>
        </is>
      </c>
      <c r="V47" s="34" t="inlineStr">
        <is>
          <t>CUMPLIMIENTO (SI/NO)</t>
        </is>
      </c>
      <c r="W47" s="34" t="inlineStr">
        <is>
          <t>AGOSTO</t>
        </is>
      </c>
      <c r="X47" s="34" t="inlineStr">
        <is>
          <t>CUMPLIMIENTO (SI/NO)</t>
        </is>
      </c>
      <c r="Y47" s="34" t="inlineStr">
        <is>
          <t>SEPTIEMBRE</t>
        </is>
      </c>
      <c r="Z47" s="34" t="inlineStr">
        <is>
          <t>CUMPLIMIENTO (SI/NO)</t>
        </is>
      </c>
      <c r="AA47" s="34" t="inlineStr">
        <is>
          <t>OCTUBRE</t>
        </is>
      </c>
      <c r="AB47" s="34" t="inlineStr">
        <is>
          <t>CUMPLIMIENTO (SI/NO)</t>
        </is>
      </c>
      <c r="AC47" s="34" t="inlineStr">
        <is>
          <t>NOVIEMBRE</t>
        </is>
      </c>
      <c r="AD47" s="34" t="inlineStr">
        <is>
          <t>CUMPLIMIENTO (SI/NO)</t>
        </is>
      </c>
      <c r="AE47" s="34" t="inlineStr">
        <is>
          <t>DICIEMBRE</t>
        </is>
      </c>
      <c r="AF47" s="34" t="inlineStr">
        <is>
          <t>CUMPLIMIENTO (SI/NO)</t>
        </is>
      </c>
    </row>
    <row r="48" ht="63" customHeight="1" s="78">
      <c r="A48" s="128" t="inlineStr">
        <is>
          <t>REQUISITOS LEGALES</t>
        </is>
      </c>
      <c r="B48" s="128" t="inlineStr">
        <is>
          <t xml:space="preserve">Medir el cumplimiento de los requisitos legales aplicables a la organización </t>
        </is>
      </c>
      <c r="C48" s="129" t="n">
        <v>0.8</v>
      </c>
      <c r="D48" s="128" t="inlineStr">
        <is>
          <t>(# requisitos legales cumplidos / # de requisitos identificados en la matriz legal) X 100%</t>
        </is>
      </c>
      <c r="E48" s="130" t="inlineStr">
        <is>
          <t>Matriz de requisitos legalees.</t>
        </is>
      </c>
      <c r="F48" s="131" t="inlineStr">
        <is>
          <t>ANUAL</t>
        </is>
      </c>
      <c r="G48" s="128" t="inlineStr">
        <is>
          <t xml:space="preserve">Alta gerencia, área SST, </t>
        </is>
      </c>
      <c r="H48" s="124" t="inlineStr">
        <is>
          <t>Alta gerencia, área SST, COPASST o VIGÍA, CCL, brigadistas, trabajadores</t>
        </is>
      </c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  <c r="AD48" s="114" t="n"/>
      <c r="AE48" s="123">
        <f>20/20*100%</f>
        <v/>
      </c>
      <c r="AF48" s="111" t="inlineStr">
        <is>
          <t>SI</t>
        </is>
      </c>
    </row>
    <row r="49">
      <c r="A49" s="192" t="n"/>
      <c r="B49" s="192" t="n"/>
      <c r="C49" s="192" t="n"/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  <c r="R49" s="192" t="n"/>
      <c r="S49" s="192" t="n"/>
      <c r="T49" s="192" t="n"/>
      <c r="U49" s="192" t="n"/>
      <c r="V49" s="192" t="n"/>
      <c r="W49" s="192" t="n"/>
      <c r="X49" s="192" t="n"/>
      <c r="Y49" s="192" t="n"/>
      <c r="Z49" s="192" t="n"/>
      <c r="AA49" s="192" t="n"/>
      <c r="AB49" s="192" t="n"/>
      <c r="AC49" s="192" t="n"/>
      <c r="AD49" s="192" t="n"/>
      <c r="AE49" s="192" t="n"/>
      <c r="AF49" s="192" t="n"/>
    </row>
    <row r="50" ht="63" customHeight="1" s="78">
      <c r="A50" s="128" t="inlineStr">
        <is>
          <t>CUMPLIMIENTO DE LOS OBJETIVOS DEL SG-SST</t>
        </is>
      </c>
      <c r="B50" s="131" t="inlineStr">
        <is>
          <t>Mide el cumplimiento de los objetivos del SG-SST establecidos</t>
        </is>
      </c>
      <c r="C50" s="17" t="n">
        <v>0.8</v>
      </c>
      <c r="D50" s="131" t="inlineStr">
        <is>
          <t xml:space="preserve">(# de objetivos cumplidos / # de objetivos estalecidos) X 100%
</t>
        </is>
      </c>
      <c r="E50" s="35" t="inlineStr">
        <is>
          <t>Objetivos del SG-SST</t>
        </is>
      </c>
      <c r="F50" s="131" t="inlineStr">
        <is>
          <t>ANUAL</t>
        </is>
      </c>
      <c r="G50" s="128" t="inlineStr">
        <is>
          <t>Área SST, COPASST o VIGÍA</t>
        </is>
      </c>
      <c r="H50" s="124" t="inlineStr">
        <is>
          <t>Alta gerencia, área SST, COPASST o VIGÍA, CCL, brigadistas, trabajadores</t>
        </is>
      </c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  <c r="AB50" s="114" t="n"/>
      <c r="AC50" s="114" t="n"/>
      <c r="AD50" s="114" t="n"/>
      <c r="AE50" s="123">
        <f>3/3*100%</f>
        <v/>
      </c>
      <c r="AF50" s="111" t="inlineStr">
        <is>
          <t>SI</t>
        </is>
      </c>
    </row>
    <row r="51" ht="48" customHeight="1" s="78">
      <c r="A51" s="192" t="n"/>
      <c r="B51" s="131" t="inlineStr">
        <is>
          <t>Mide la comunicación de los objetivos a todos los trabajadores</t>
        </is>
      </c>
      <c r="C51" s="129" t="n">
        <v>1</v>
      </c>
      <c r="D51" s="128" t="inlineStr">
        <is>
          <t>(# de trabajadores que le socializaron los objetivos / # de trabajadores en el año) X 100%</t>
        </is>
      </c>
      <c r="E51" s="35" t="inlineStr">
        <is>
          <t>Objetivos del SG-SST</t>
        </is>
      </c>
      <c r="F51" s="131" t="inlineStr">
        <is>
          <t>ANUAL</t>
        </is>
      </c>
      <c r="G51" s="128" t="inlineStr">
        <is>
          <t>Área SST, COPASST o VIGÍA</t>
        </is>
      </c>
      <c r="H51" s="124" t="inlineStr">
        <is>
          <t>Alta gerencia, área SST, COPASST o VIGÍA, CCL, brigadistas, trabajadores</t>
        </is>
      </c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123">
        <f>6/6*100%</f>
        <v/>
      </c>
      <c r="AF51" s="111" t="inlineStr">
        <is>
          <t>SI</t>
        </is>
      </c>
    </row>
    <row r="52" ht="64.5" customHeight="1" s="78">
      <c r="A52" s="128" t="inlineStr">
        <is>
          <t>PLAN DE TRABAJO</t>
        </is>
      </c>
      <c r="B52" s="128" t="inlineStr">
        <is>
          <t>Mide el cumplimento de las actividades planificadas en el plan de trabajo anual</t>
        </is>
      </c>
      <c r="C52" s="129" t="inlineStr">
        <is>
          <t>SI</t>
        </is>
      </c>
      <c r="D52" s="128" t="inlineStr">
        <is>
          <t>Se cumplió con la meta establecida del 80% de actividades ejecutadas del plan de trabajo anual (si o no)</t>
        </is>
      </c>
      <c r="E52" s="130" t="inlineStr">
        <is>
          <t>Plan de Trabajo anual</t>
        </is>
      </c>
      <c r="F52" s="131" t="inlineStr">
        <is>
          <t>ANUAL</t>
        </is>
      </c>
      <c r="G52" s="128" t="inlineStr">
        <is>
          <t>Área SST, COPASST o VIGÍA, CCL, brigadistas</t>
        </is>
      </c>
      <c r="H52" s="124" t="inlineStr">
        <is>
          <t>Alta gerencia, área SST, COPASST o VIGÍA, CCL, brigadistas, trabajadores</t>
        </is>
      </c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  <c r="AB52" s="114" t="n"/>
      <c r="AC52" s="114" t="n"/>
      <c r="AD52" s="114" t="n"/>
      <c r="AE52" s="111" t="inlineStr">
        <is>
          <t>SI</t>
        </is>
      </c>
      <c r="AF52" s="111" t="inlineStr">
        <is>
          <t>SI</t>
        </is>
      </c>
    </row>
    <row r="53" ht="60.75" customHeight="1" s="78">
      <c r="A53" s="128" t="inlineStr">
        <is>
          <t>EVALUACIÓN DE LAS ACCIONES CORRECTIVAS Y PREVENTIVAS</t>
        </is>
      </c>
      <c r="B53" s="128" t="inlineStr">
        <is>
          <t>Mide el nivel de eficiencia de las acciones correctivas y preventivas implementadas</t>
        </is>
      </c>
      <c r="C53" s="129" t="n">
        <v>0.8</v>
      </c>
      <c r="D53" s="128" t="inlineStr">
        <is>
          <t>(# de acciones preventivas y correctivas implementadas eficientemente / # de acciones preventivas y correctivas registradas) X 100%</t>
        </is>
      </c>
      <c r="E53" s="130" t="inlineStr">
        <is>
          <t>Reporte de acciones correctivas y preventivas</t>
        </is>
      </c>
      <c r="F53" s="131" t="inlineStr">
        <is>
          <t>ANUAL</t>
        </is>
      </c>
      <c r="G53" s="128" t="inlineStr">
        <is>
          <t>Alta gerencia, Área SS, COPASST o VIGÍA</t>
        </is>
      </c>
      <c r="H53" s="124" t="inlineStr">
        <is>
          <t>Alta gerencia, área SST, COPASST o VIGÍA, CCL, brigadistas, trabajadores</t>
        </is>
      </c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  <c r="AB53" s="114" t="n"/>
      <c r="AC53" s="114" t="n"/>
      <c r="AD53" s="114" t="n"/>
      <c r="AE53" s="123">
        <f>6/7*100%</f>
        <v/>
      </c>
      <c r="AF53" s="111" t="inlineStr">
        <is>
          <t>SI</t>
        </is>
      </c>
    </row>
    <row r="54" ht="60.75" customHeight="1" s="78">
      <c r="A54" s="128" t="inlineStr">
        <is>
          <t>CUMPLIMIENTO PROGRAMA DE VIGILANCIA EPIDEMIOLÓGICOS</t>
        </is>
      </c>
      <c r="B54" s="128" t="inlineStr">
        <is>
          <t>Midel el nivel de cumplimiento de los programas de vigialancia epidemiológicos establecidos por la empresa</t>
        </is>
      </c>
      <c r="C54" s="129" t="n">
        <v>0.8</v>
      </c>
      <c r="D54" s="128" t="inlineStr">
        <is>
          <t>(# de actividades ejecutadas en los PVE / # de actividades planificadas en los PVE) X 100%</t>
        </is>
      </c>
      <c r="E54" s="130" t="inlineStr">
        <is>
          <t>Programas de vigialancia epidemiológicos diseñados</t>
        </is>
      </c>
      <c r="F54" s="131" t="inlineStr">
        <is>
          <t>ANUAL</t>
        </is>
      </c>
      <c r="G54" s="128" t="inlineStr">
        <is>
          <t>Área SST, COPASST o VIGÍA</t>
        </is>
      </c>
      <c r="H54" s="124" t="inlineStr">
        <is>
          <t>Alta gerencia, área SST, COPASST o VIGÍA, CCL, brigadistas, trabajadores</t>
        </is>
      </c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  <c r="AB54" s="114" t="n"/>
      <c r="AC54" s="114" t="n"/>
      <c r="AD54" s="114" t="n"/>
      <c r="AE54" s="123">
        <f>1/1*100%</f>
        <v/>
      </c>
      <c r="AF54" s="111" t="inlineStr">
        <is>
          <t>SI</t>
        </is>
      </c>
    </row>
    <row r="55" ht="60.75" customHeight="1" s="78">
      <c r="A55" s="128" t="inlineStr">
        <is>
          <t xml:space="preserve"> CUMPLIMIENTO DEL PROGRAMA DE REHABILITACIÓN</t>
        </is>
      </c>
      <c r="B55" s="128" t="inlineStr">
        <is>
          <t>Mide el nivel de cumplimiento de los trabajadores rehabilitados de la organización</t>
        </is>
      </c>
      <c r="C55" s="129" t="n">
        <v>0.5</v>
      </c>
      <c r="D55" s="128" t="inlineStr">
        <is>
          <t>(# de trabajadores rehabilitados y reubicados correctamente / # de trabajadores incluidos en el programa de rehabilitación) X 100%</t>
        </is>
      </c>
      <c r="E55" s="130" t="inlineStr">
        <is>
          <t>Programa de rehabilitación</t>
        </is>
      </c>
      <c r="F55" s="131" t="inlineStr">
        <is>
          <t>ANUAL</t>
        </is>
      </c>
      <c r="G55" s="128" t="inlineStr">
        <is>
          <t>Área SST, COPASST o VIGÍA</t>
        </is>
      </c>
      <c r="H55" s="124" t="inlineStr">
        <is>
          <t>Alta gerencia, área SST, COPASST o VIGÍA, CCL, brigadistas, trabajadores</t>
        </is>
      </c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  <c r="AB55" s="114" t="n"/>
      <c r="AC55" s="114" t="n"/>
      <c r="AD55" s="114" t="n"/>
      <c r="AE55" s="123" t="n">
        <v>0</v>
      </c>
      <c r="AF55" s="111" t="inlineStr">
        <is>
          <t>SI</t>
        </is>
      </c>
    </row>
    <row r="56" ht="72" customHeight="1" s="78">
      <c r="A56" s="128" t="inlineStr">
        <is>
          <t>ANÁLISIS DE LOS REGISTROS DE ENFERMEDAD LABORAL, INCIDENTES, ACCIDENTES Y AUSENTISMO LABORAL POR ENFERMEDAD</t>
        </is>
      </c>
      <c r="B56" s="128" t="inlineStr">
        <is>
          <t>Mide el cumplimiento de seguimiento a los análisis de IT, AT y EL, establecidos en la Res 0312/2019</t>
        </is>
      </c>
      <c r="C56" s="128" t="inlineStr">
        <is>
          <t>Si</t>
        </is>
      </c>
      <c r="D56" s="128" t="inlineStr">
        <is>
          <t>Se realiza el análisis de los indicadores conforme a la Resolución 0312/2019 (si o no)</t>
        </is>
      </c>
      <c r="E56" s="130" t="inlineStr">
        <is>
          <t>Indicadores Res 0312/2019                                     Matriz IPEVR, inspecciones, reuniones COPASST, CCL, brigadas</t>
        </is>
      </c>
      <c r="F56" s="131" t="inlineStr">
        <is>
          <t>ANUAL</t>
        </is>
      </c>
      <c r="G56" s="128" t="inlineStr">
        <is>
          <t>Área SST, COPASST o VIGÍA</t>
        </is>
      </c>
      <c r="H56" s="124" t="inlineStr">
        <is>
          <t>Alta gerencia, área SST, COPASST o VIGÍA, CCL, brigadistas, trabajadores</t>
        </is>
      </c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  <c r="AB56" s="114" t="n"/>
      <c r="AC56" s="114" t="n"/>
      <c r="AD56" s="114" t="n"/>
      <c r="AE56" s="111" t="inlineStr">
        <is>
          <t>SI</t>
        </is>
      </c>
      <c r="AF56" s="111" t="inlineStr">
        <is>
          <t>SI</t>
        </is>
      </c>
    </row>
    <row r="57" ht="74.25" customHeight="1" s="78">
      <c r="A57" s="128" t="inlineStr">
        <is>
          <t>ANÁLISIS DE LOS RESULTADOS DE LAS MEDIDAS DE INTERVENCIÓN IMPLEMENTADAS EN LOS PELIGROS Y RIESGOS PRIORIZADOS</t>
        </is>
      </c>
      <c r="B57" s="128" t="inlineStr">
        <is>
          <t>Mide el análiisis realizado a las medidas de intervención propuestas para la organización</t>
        </is>
      </c>
      <c r="C57" s="128" t="inlineStr">
        <is>
          <t>Si</t>
        </is>
      </c>
      <c r="D57" s="128" t="inlineStr">
        <is>
          <t xml:space="preserve">Se realiza el análisis a las medidas de intervención implementadas de para controlar los peligros y riesgos priorizados (si o no) </t>
        </is>
      </c>
      <c r="E57" s="130" t="inlineStr">
        <is>
          <t>Matriz IPEVR, inspecciones, reuniones COPASST, CCL, brigadas</t>
        </is>
      </c>
      <c r="F57" s="131" t="inlineStr">
        <is>
          <t>ANUAL</t>
        </is>
      </c>
      <c r="G57" s="128" t="inlineStr">
        <is>
          <t>Área SST, COPASST o VIGÍA</t>
        </is>
      </c>
      <c r="H57" s="124" t="inlineStr">
        <is>
          <t>Alta gerencia, área SST, COPASST o VIGÍA, CCL, brigadistas</t>
        </is>
      </c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  <c r="AB57" s="114" t="n"/>
      <c r="AC57" s="114" t="n"/>
      <c r="AD57" s="114" t="n"/>
      <c r="AE57" s="111" t="inlineStr">
        <is>
          <t>SI</t>
        </is>
      </c>
      <c r="AF57" s="111" t="inlineStr">
        <is>
          <t>SI</t>
        </is>
      </c>
    </row>
    <row r="58" ht="60.75" customHeight="1" s="78">
      <c r="A58" s="128" t="inlineStr">
        <is>
          <t>EVALUACIÓN DEL CUMPLIMIENTO DEL CRONOGRAMA DE LAS MEDICIONES AMBIENTALES Y SUS RESULTADOS</t>
        </is>
      </c>
      <c r="B58" s="128" t="inlineStr">
        <is>
          <t>Mide el cumplimiento al cronograma de mediciones ambientales y sus resultados</t>
        </is>
      </c>
      <c r="C58" s="128" t="inlineStr">
        <is>
          <t>Si</t>
        </is>
      </c>
      <c r="D58" s="128" t="inlineStr">
        <is>
          <t>Se cumplió con las mediciones ambientales programadas, se analizaron los resultados y se generaron las medidas de intervención adecuadas (si o no)</t>
        </is>
      </c>
      <c r="E58" s="130" t="inlineStr">
        <is>
          <t>Mediciones ambientales             reuniones COPASST, CCL, brigadas</t>
        </is>
      </c>
      <c r="F58" s="131" t="inlineStr">
        <is>
          <t>ANUAL</t>
        </is>
      </c>
      <c r="G58" s="128" t="inlineStr">
        <is>
          <t>Área SST, COPASST o VIGÍA</t>
        </is>
      </c>
      <c r="H58" s="124" t="inlineStr">
        <is>
          <t>Alta gerencia, área SST, COPASST o VIGÍA, CCL, brigadistas</t>
        </is>
      </c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  <c r="AB58" s="114" t="n"/>
      <c r="AC58" s="114" t="n"/>
      <c r="AD58" s="114" t="n"/>
      <c r="AE58" s="111" t="inlineStr">
        <is>
          <t>NO</t>
        </is>
      </c>
      <c r="AF58" s="111" t="inlineStr">
        <is>
          <t>NO</t>
        </is>
      </c>
    </row>
    <row r="59" ht="15" customHeight="1" s="78"/>
    <row r="60"/>
    <row r="62">
      <c r="A62" s="19" t="n"/>
    </row>
  </sheetData>
  <mergeCells count="127">
    <mergeCell ref="H26:H27"/>
    <mergeCell ref="AC39:AC43"/>
    <mergeCell ref="M48:M49"/>
    <mergeCell ref="AE39:AE43"/>
    <mergeCell ref="E48:E49"/>
    <mergeCell ref="G48:G49"/>
    <mergeCell ref="A7:A8"/>
    <mergeCell ref="I22:AF22"/>
    <mergeCell ref="S48:S49"/>
    <mergeCell ref="C39:C43"/>
    <mergeCell ref="U48:U49"/>
    <mergeCell ref="AE48:AE49"/>
    <mergeCell ref="B13:B14"/>
    <mergeCell ref="F26:F27"/>
    <mergeCell ref="D13:D14"/>
    <mergeCell ref="I17:I18"/>
    <mergeCell ref="F13:F14"/>
    <mergeCell ref="N48:N49"/>
    <mergeCell ref="H13:H14"/>
    <mergeCell ref="P48:P49"/>
    <mergeCell ref="I4:AF4"/>
    <mergeCell ref="M17:M18"/>
    <mergeCell ref="T39:T43"/>
    <mergeCell ref="O17:O18"/>
    <mergeCell ref="Q17:Q18"/>
    <mergeCell ref="F48:F49"/>
    <mergeCell ref="X39:X43"/>
    <mergeCell ref="H48:H49"/>
    <mergeCell ref="W13:W14"/>
    <mergeCell ref="B26:B27"/>
    <mergeCell ref="V48:V49"/>
    <mergeCell ref="AD1:AF1"/>
    <mergeCell ref="A48:A49"/>
    <mergeCell ref="X48:X49"/>
    <mergeCell ref="E13:E14"/>
    <mergeCell ref="B17:B18"/>
    <mergeCell ref="G13:G14"/>
    <mergeCell ref="D17:D18"/>
    <mergeCell ref="I39:I43"/>
    <mergeCell ref="AA48:AA49"/>
    <mergeCell ref="K39:K43"/>
    <mergeCell ref="AD2:AF2"/>
    <mergeCell ref="H17:H18"/>
    <mergeCell ref="U39:U43"/>
    <mergeCell ref="B33:B37"/>
    <mergeCell ref="W39:W43"/>
    <mergeCell ref="A26:A27"/>
    <mergeCell ref="AE13:AE14"/>
    <mergeCell ref="M13:M14"/>
    <mergeCell ref="I5:AF5"/>
    <mergeCell ref="I48:I49"/>
    <mergeCell ref="K48:K49"/>
    <mergeCell ref="A17:A18"/>
    <mergeCell ref="K17:K18"/>
    <mergeCell ref="C17:C18"/>
    <mergeCell ref="W17:W18"/>
    <mergeCell ref="AD3:AF3"/>
    <mergeCell ref="E26:E27"/>
    <mergeCell ref="A22:H22"/>
    <mergeCell ref="G26:G27"/>
    <mergeCell ref="AA17:AA18"/>
    <mergeCell ref="AC48:AC49"/>
    <mergeCell ref="AF13:AF14"/>
    <mergeCell ref="H39:H43"/>
    <mergeCell ref="AC17:AC18"/>
    <mergeCell ref="B1:AC3"/>
    <mergeCell ref="R48:R49"/>
    <mergeCell ref="B39:B43"/>
    <mergeCell ref="T48:T49"/>
    <mergeCell ref="J48:J49"/>
    <mergeCell ref="L48:L49"/>
    <mergeCell ref="L39:L43"/>
    <mergeCell ref="AD48:AD49"/>
    <mergeCell ref="N39:N43"/>
    <mergeCell ref="AF48:AF49"/>
    <mergeCell ref="P39:P43"/>
    <mergeCell ref="Z39:Z43"/>
    <mergeCell ref="AB39:AB43"/>
    <mergeCell ref="A33:A37"/>
    <mergeCell ref="A50:A51"/>
    <mergeCell ref="A4:H5"/>
    <mergeCell ref="S13:S14"/>
    <mergeCell ref="F17:F18"/>
    <mergeCell ref="U13:U14"/>
    <mergeCell ref="A1:A3"/>
    <mergeCell ref="Y13:Y14"/>
    <mergeCell ref="A39:A43"/>
    <mergeCell ref="A13:A14"/>
    <mergeCell ref="AF17:AF18"/>
    <mergeCell ref="C48:C49"/>
    <mergeCell ref="E39:E43"/>
    <mergeCell ref="W48:W49"/>
    <mergeCell ref="G39:G43"/>
    <mergeCell ref="Y48:Y49"/>
    <mergeCell ref="O48:O49"/>
    <mergeCell ref="Y39:Y43"/>
    <mergeCell ref="Q39:Q43"/>
    <mergeCell ref="Q48:Q49"/>
    <mergeCell ref="AA39:AA43"/>
    <mergeCell ref="S39:S43"/>
    <mergeCell ref="I46:AF46"/>
    <mergeCell ref="E17:E18"/>
    <mergeCell ref="G17:G18"/>
    <mergeCell ref="S17:S18"/>
    <mergeCell ref="U17:U18"/>
    <mergeCell ref="AE17:AE18"/>
    <mergeCell ref="C26:C27"/>
    <mergeCell ref="B48:B49"/>
    <mergeCell ref="D48:D49"/>
    <mergeCell ref="D39:D43"/>
    <mergeCell ref="Y17:Y18"/>
    <mergeCell ref="F39:F43"/>
    <mergeCell ref="A46:H46"/>
    <mergeCell ref="J39:J43"/>
    <mergeCell ref="Z48:Z49"/>
    <mergeCell ref="AB48:AB49"/>
    <mergeCell ref="AF39:AF43"/>
    <mergeCell ref="C33:C37"/>
    <mergeCell ref="I13:I14"/>
    <mergeCell ref="K13:K14"/>
    <mergeCell ref="C13:C14"/>
    <mergeCell ref="M39:M43"/>
    <mergeCell ref="O39:O43"/>
    <mergeCell ref="O13:O14"/>
    <mergeCell ref="Q13:Q14"/>
    <mergeCell ref="AA13:AA14"/>
    <mergeCell ref="AC13:AC14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showGridLines="0" tabSelected="1" topLeftCell="AZ109" zoomScaleNormal="100" workbookViewId="0">
      <selection activeCell="AL7" sqref="AL7:AL8"/>
    </sheetView>
  </sheetViews>
  <sheetFormatPr baseColWidth="10" defaultRowHeight="15"/>
  <cols>
    <col width="15.85546875" customWidth="1" style="78" min="1" max="1"/>
    <col width="18.28515625" customWidth="1" style="78" min="2" max="2"/>
    <col width="11.140625" customWidth="1" style="15" min="3" max="3"/>
    <col width="18.5703125" customWidth="1" style="78" min="4" max="4"/>
    <col width="15.85546875" customWidth="1" style="78" min="5" max="5"/>
    <col width="11.85546875" customWidth="1" style="78" min="6" max="6"/>
    <col width="15.28515625" customWidth="1" style="78" min="7" max="7"/>
    <col width="18.7109375" customWidth="1" style="26" min="8" max="8"/>
    <col width="12.7109375" customWidth="1" style="26" min="9" max="9"/>
    <col width="10.140625" customWidth="1" style="26" min="10" max="10"/>
    <col width="13.140625" customWidth="1" style="50" min="11" max="11"/>
    <col width="15" customWidth="1" style="78" min="12" max="12"/>
    <col width="16.5703125" customWidth="1" style="78" min="13" max="13"/>
    <col width="12.28515625" customWidth="1" style="78" min="14" max="14"/>
    <col width="11.85546875" customWidth="1" style="78" min="15" max="15"/>
    <col width="11.28515625" customWidth="1" style="50" min="16" max="16"/>
    <col width="13.28515625" customWidth="1" style="50" min="17" max="17"/>
    <col width="17.28515625" customWidth="1" style="50" min="18" max="18"/>
    <col width="13.42578125" customWidth="1" style="78" min="19" max="19"/>
    <col width="12.140625" customWidth="1" style="78" min="20" max="20"/>
    <col width="11.85546875" customWidth="1" style="50" min="21" max="21"/>
    <col width="13" customWidth="1" style="50" min="22" max="22"/>
    <col width="16.42578125" customWidth="1" style="50" min="23" max="23"/>
    <col width="12.42578125" customWidth="1" style="78" min="24" max="24"/>
    <col width="11.140625" customWidth="1" style="78" min="25" max="25"/>
    <col width="9.7109375" customWidth="1" style="50" min="26" max="26"/>
    <col width="13.140625" customWidth="1" style="50" min="27" max="27"/>
    <col width="16.28515625" customWidth="1" style="50" min="28" max="28"/>
    <col width="12.7109375" customWidth="1" style="78" min="29" max="29"/>
    <col width="10.5703125" customWidth="1" style="78" min="30" max="30"/>
    <col width="8.85546875" customWidth="1" style="50" min="31" max="31"/>
    <col width="12.5703125" customWidth="1" style="50" min="32" max="32"/>
    <col width="16.28515625" customWidth="1" style="50" min="33" max="33"/>
    <col width="12" customWidth="1" style="78" min="34" max="34"/>
    <col width="10" customWidth="1" style="78" min="35" max="35"/>
    <col width="8.5703125" customWidth="1" style="50" min="36" max="36"/>
    <col width="13.140625" customWidth="1" style="50" min="37" max="37"/>
    <col width="16.140625" customWidth="1" style="50" min="38" max="38"/>
    <col width="12.140625" customWidth="1" style="78" min="39" max="39"/>
    <col width="9.5703125" customWidth="1" style="78" min="40" max="40"/>
    <col width="19" customWidth="1" style="50" min="41" max="41"/>
    <col width="19" customWidth="1" style="78" min="42" max="43"/>
    <col width="12.42578125" customWidth="1" style="78" min="44" max="44"/>
    <col width="9.140625" customWidth="1" style="78" min="45" max="45"/>
    <col width="10.140625" customWidth="1" style="50" min="46" max="46"/>
    <col width="13.28515625" customWidth="1" style="50" min="47" max="47"/>
    <col width="16.42578125" customWidth="1" style="50" min="48" max="48"/>
    <col width="12.42578125" customWidth="1" style="78" min="49" max="49"/>
    <col width="9.140625" customWidth="1" style="78" min="50" max="50"/>
    <col width="11" customWidth="1" style="78" min="51" max="51"/>
    <col width="13.140625" customWidth="1" style="50" min="52" max="52"/>
    <col width="16.28515625" customWidth="1" style="50" min="53" max="53"/>
    <col width="12.28515625" customWidth="1" style="78" min="54" max="54"/>
    <col width="7.7109375" customWidth="1" style="78" min="55" max="55"/>
    <col width="9.5703125" customWidth="1" style="78" min="56" max="56"/>
    <col width="12.7109375" customWidth="1" style="50" min="57" max="57"/>
    <col width="16.7109375" customWidth="1" style="50" min="58" max="58"/>
    <col width="12.140625" customWidth="1" style="78" min="59" max="59"/>
    <col width="8.7109375" customWidth="1" style="78" min="60" max="60"/>
    <col width="12" customWidth="1" style="50" min="61" max="61"/>
    <col width="19" customWidth="1" style="50" min="62" max="62"/>
    <col width="16.140625" customWidth="1" style="50" min="63" max="63"/>
    <col width="12.42578125" customWidth="1" style="78" min="64" max="64"/>
    <col width="9.140625" customWidth="1" style="78" min="65" max="65"/>
    <col width="11.42578125" customWidth="1" style="50" min="66" max="66"/>
    <col width="12.7109375" customWidth="1" style="78" min="67" max="67"/>
    <col width="16.7109375" customWidth="1" style="78" min="68" max="68"/>
  </cols>
  <sheetData>
    <row r="1" ht="15" customHeight="1" s="78">
      <c r="A1" s="97" t="n"/>
      <c r="B1" s="186" t="n"/>
      <c r="C1" s="207" t="inlineStr">
        <is>
          <t>FICHA DE INDICADORES</t>
        </is>
      </c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5" t="n"/>
      <c r="AE1" s="185" t="n"/>
      <c r="AF1" s="185" t="n"/>
      <c r="AG1" s="185" t="n"/>
      <c r="AH1" s="185" t="n"/>
      <c r="AI1" s="185" t="n"/>
      <c r="AJ1" s="185" t="n"/>
      <c r="AK1" s="185" t="n"/>
      <c r="AL1" s="185" t="n"/>
      <c r="AM1" s="185" t="n"/>
      <c r="AN1" s="185" t="n"/>
      <c r="AO1" s="185" t="n"/>
      <c r="AP1" s="185" t="n"/>
      <c r="AQ1" s="185" t="n"/>
      <c r="AR1" s="185" t="n"/>
      <c r="AS1" s="185" t="n"/>
      <c r="AT1" s="185" t="n"/>
      <c r="AU1" s="185" t="n"/>
      <c r="AV1" s="185" t="n"/>
      <c r="AW1" s="185" t="n"/>
      <c r="AX1" s="185" t="n"/>
      <c r="AY1" s="185" t="n"/>
      <c r="AZ1" s="185" t="n"/>
      <c r="BA1" s="185" t="n"/>
      <c r="BB1" s="185" t="n"/>
      <c r="BC1" s="185" t="n"/>
      <c r="BD1" s="185" t="n"/>
      <c r="BE1" s="185" t="n"/>
      <c r="BF1" s="185" t="n"/>
      <c r="BG1" s="185" t="n"/>
      <c r="BH1" s="185" t="n"/>
      <c r="BI1" s="185" t="n"/>
      <c r="BJ1" s="185" t="n"/>
      <c r="BK1" s="185" t="n"/>
      <c r="BL1" s="185" t="n"/>
      <c r="BM1" s="185" t="n"/>
      <c r="BN1" s="186" t="n"/>
      <c r="BO1" s="208" t="inlineStr">
        <is>
          <t>Fecha: 02/02/2026</t>
        </is>
      </c>
      <c r="BP1" s="188" t="n"/>
    </row>
    <row r="2" ht="15" customHeight="1" s="78">
      <c r="A2" s="190" t="n"/>
      <c r="B2" s="191" t="n"/>
      <c r="C2" s="190" t="n"/>
      <c r="BN2" s="191" t="n"/>
      <c r="BO2" s="120" t="inlineStr">
        <is>
          <t>VERSION: 1</t>
        </is>
      </c>
      <c r="BP2" s="188" t="n"/>
    </row>
    <row r="3" ht="17.25" customHeight="1" s="78">
      <c r="A3" s="193" t="n"/>
      <c r="B3" s="195" t="n"/>
      <c r="C3" s="193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194" t="n"/>
      <c r="N3" s="194" t="n"/>
      <c r="O3" s="194" t="n"/>
      <c r="P3" s="194" t="n"/>
      <c r="Q3" s="194" t="n"/>
      <c r="R3" s="194" t="n"/>
      <c r="S3" s="194" t="n"/>
      <c r="T3" s="194" t="n"/>
      <c r="U3" s="194" t="n"/>
      <c r="V3" s="194" t="n"/>
      <c r="W3" s="194" t="n"/>
      <c r="X3" s="194" t="n"/>
      <c r="Y3" s="194" t="n"/>
      <c r="Z3" s="194" t="n"/>
      <c r="AA3" s="194" t="n"/>
      <c r="AB3" s="194" t="n"/>
      <c r="AC3" s="194" t="n"/>
      <c r="AD3" s="194" t="n"/>
      <c r="AE3" s="194" t="n"/>
      <c r="AF3" s="194" t="n"/>
      <c r="AG3" s="194" t="n"/>
      <c r="AH3" s="194" t="n"/>
      <c r="AI3" s="194" t="n"/>
      <c r="AJ3" s="194" t="n"/>
      <c r="AK3" s="194" t="n"/>
      <c r="AL3" s="194" t="n"/>
      <c r="AM3" s="194" t="n"/>
      <c r="AN3" s="194" t="n"/>
      <c r="AO3" s="194" t="n"/>
      <c r="AP3" s="194" t="n"/>
      <c r="AQ3" s="194" t="n"/>
      <c r="AR3" s="194" t="n"/>
      <c r="AS3" s="194" t="n"/>
      <c r="AT3" s="194" t="n"/>
      <c r="AU3" s="194" t="n"/>
      <c r="AV3" s="194" t="n"/>
      <c r="AW3" s="194" t="n"/>
      <c r="AX3" s="194" t="n"/>
      <c r="AY3" s="194" t="n"/>
      <c r="AZ3" s="194" t="n"/>
      <c r="BA3" s="194" t="n"/>
      <c r="BB3" s="194" t="n"/>
      <c r="BC3" s="194" t="n"/>
      <c r="BD3" s="194" t="n"/>
      <c r="BE3" s="194" t="n"/>
      <c r="BF3" s="194" t="n"/>
      <c r="BG3" s="194" t="n"/>
      <c r="BH3" s="194" t="n"/>
      <c r="BI3" s="194" t="n"/>
      <c r="BJ3" s="194" t="n"/>
      <c r="BK3" s="194" t="n"/>
      <c r="BL3" s="194" t="n"/>
      <c r="BM3" s="194" t="n"/>
      <c r="BN3" s="195" t="n"/>
      <c r="BO3" s="120" t="inlineStr">
        <is>
          <t>CODIGO: FG-FOR-SST-104</t>
        </is>
      </c>
      <c r="BP3" s="188" t="n"/>
    </row>
    <row r="4" ht="15" customHeight="1" s="78">
      <c r="A4" s="132" t="inlineStr">
        <is>
          <t>INDICADORES RESOLUCIÓN 0312/2019 - AÑO 2026</t>
        </is>
      </c>
      <c r="B4" s="185" t="n"/>
      <c r="C4" s="185" t="n"/>
      <c r="D4" s="185" t="n"/>
      <c r="E4" s="185" t="n"/>
      <c r="F4" s="185" t="n"/>
      <c r="G4" s="185" t="n"/>
      <c r="H4" s="186" t="n"/>
      <c r="I4" s="101" t="inlineStr">
        <is>
          <t xml:space="preserve">RESULTADOS </t>
        </is>
      </c>
      <c r="J4" s="194" t="n"/>
      <c r="K4" s="194" t="n"/>
      <c r="L4" s="194" t="n"/>
      <c r="M4" s="194" t="n"/>
      <c r="N4" s="194" t="n"/>
      <c r="O4" s="194" t="n"/>
      <c r="P4" s="194" t="n"/>
      <c r="Q4" s="194" t="n"/>
      <c r="R4" s="194" t="n"/>
      <c r="S4" s="194" t="n"/>
      <c r="T4" s="194" t="n"/>
      <c r="U4" s="194" t="n"/>
      <c r="V4" s="194" t="n"/>
      <c r="W4" s="194" t="n"/>
      <c r="X4" s="194" t="n"/>
      <c r="Y4" s="194" t="n"/>
      <c r="Z4" s="194" t="n"/>
      <c r="AA4" s="194" t="n"/>
      <c r="AB4" s="194" t="n"/>
      <c r="AC4" s="194" t="n"/>
      <c r="AD4" s="194" t="n"/>
      <c r="AE4" s="194" t="n"/>
      <c r="AF4" s="194" t="n"/>
      <c r="AG4" s="194" t="n"/>
      <c r="AH4" s="194" t="n"/>
      <c r="AI4" s="194" t="n"/>
      <c r="AJ4" s="194" t="n"/>
      <c r="AK4" s="194" t="n"/>
      <c r="AL4" s="194" t="n"/>
      <c r="AM4" s="194" t="n"/>
      <c r="AN4" s="194" t="n"/>
      <c r="AO4" s="194" t="n"/>
      <c r="AP4" s="194" t="n"/>
      <c r="AQ4" s="194" t="n"/>
      <c r="AR4" s="194" t="n"/>
      <c r="AS4" s="194" t="n"/>
      <c r="AT4" s="194" t="n"/>
      <c r="AU4" s="194" t="n"/>
      <c r="AV4" s="194" t="n"/>
      <c r="AW4" s="194" t="n"/>
      <c r="AX4" s="194" t="n"/>
      <c r="AY4" s="194" t="n"/>
      <c r="AZ4" s="194" t="n"/>
      <c r="BA4" s="194" t="n"/>
      <c r="BB4" s="194" t="n"/>
      <c r="BC4" s="194" t="n"/>
      <c r="BD4" s="194" t="n"/>
      <c r="BE4" s="194" t="n"/>
      <c r="BF4" s="194" t="n"/>
      <c r="BG4" s="194" t="n"/>
      <c r="BH4" s="194" t="n"/>
      <c r="BI4" s="194" t="n"/>
      <c r="BJ4" s="194" t="n"/>
      <c r="BK4" s="194" t="n"/>
      <c r="BL4" s="194" t="n"/>
      <c r="BM4" s="194" t="n"/>
      <c r="BN4" s="194" t="n"/>
      <c r="BO4" s="194" t="n"/>
      <c r="BP4" s="100" t="n"/>
    </row>
    <row r="5" ht="15.75" customHeight="1" s="78">
      <c r="A5" s="193" t="n"/>
      <c r="B5" s="194" t="n"/>
      <c r="C5" s="194" t="n"/>
      <c r="D5" s="194" t="n"/>
      <c r="E5" s="194" t="n"/>
      <c r="F5" s="194" t="n"/>
      <c r="G5" s="194" t="n"/>
      <c r="H5" s="195" t="n"/>
      <c r="I5" s="70" t="inlineStr">
        <is>
          <t>AÑO: 2026</t>
        </is>
      </c>
      <c r="J5" s="187" t="n"/>
      <c r="K5" s="187" t="n"/>
      <c r="L5" s="187" t="n"/>
      <c r="M5" s="187" t="n"/>
      <c r="N5" s="187" t="n"/>
      <c r="O5" s="187" t="n"/>
      <c r="P5" s="187" t="n"/>
      <c r="Q5" s="187" t="n"/>
      <c r="R5" s="187" t="n"/>
      <c r="S5" s="187" t="n"/>
      <c r="T5" s="187" t="n"/>
      <c r="U5" s="187" t="n"/>
      <c r="V5" s="187" t="n"/>
      <c r="W5" s="187" t="n"/>
      <c r="X5" s="187" t="n"/>
      <c r="Y5" s="187" t="n"/>
      <c r="Z5" s="187" t="n"/>
      <c r="AA5" s="187" t="n"/>
      <c r="AB5" s="187" t="n"/>
      <c r="AC5" s="187" t="n"/>
      <c r="AD5" s="187" t="n"/>
      <c r="AE5" s="187" t="n"/>
      <c r="AF5" s="187" t="n"/>
      <c r="AG5" s="187" t="n"/>
      <c r="AH5" s="187" t="n"/>
      <c r="AI5" s="187" t="n"/>
      <c r="AJ5" s="187" t="n"/>
      <c r="AK5" s="187" t="n"/>
      <c r="AL5" s="187" t="n"/>
      <c r="AM5" s="187" t="n"/>
      <c r="AN5" s="187" t="n"/>
      <c r="AO5" s="187" t="n"/>
      <c r="AP5" s="187" t="n"/>
      <c r="AQ5" s="187" t="n"/>
      <c r="AR5" s="187" t="n"/>
      <c r="AS5" s="187" t="n"/>
      <c r="AT5" s="187" t="n"/>
      <c r="AU5" s="187" t="n"/>
      <c r="AV5" s="187" t="n"/>
      <c r="AW5" s="187" t="n"/>
      <c r="AX5" s="187" t="n"/>
      <c r="AY5" s="187" t="n"/>
      <c r="AZ5" s="187" t="n"/>
      <c r="BA5" s="187" t="n"/>
      <c r="BB5" s="187" t="n"/>
      <c r="BC5" s="187" t="n"/>
      <c r="BD5" s="187" t="n"/>
      <c r="BE5" s="187" t="n"/>
      <c r="BF5" s="187" t="n"/>
      <c r="BG5" s="187" t="n"/>
      <c r="BH5" s="187" t="n"/>
      <c r="BI5" s="187" t="n"/>
      <c r="BJ5" s="187" t="n"/>
      <c r="BK5" s="187" t="n"/>
      <c r="BL5" s="187" t="n"/>
      <c r="BM5" s="187" t="n"/>
      <c r="BN5" s="187" t="n"/>
      <c r="BO5" s="188" t="n"/>
      <c r="BP5" s="70" t="n"/>
    </row>
    <row r="6" ht="22.5" customHeight="1" s="78">
      <c r="A6" s="32" t="inlineStr">
        <is>
          <t>DEFINICION DEL INDICADOR</t>
        </is>
      </c>
      <c r="B6" s="32" t="inlineStr">
        <is>
          <t>INTERPRETACION</t>
        </is>
      </c>
      <c r="C6" s="32" t="inlineStr">
        <is>
          <t>LIMITE DEL INDICADOR</t>
        </is>
      </c>
      <c r="D6" s="32" t="inlineStr">
        <is>
          <t>METODO DE CALCULO Y/O VERIFICACION</t>
        </is>
      </c>
      <c r="E6" s="32" t="inlineStr">
        <is>
          <t>FUENTE DE INFORMACION</t>
        </is>
      </c>
      <c r="F6" s="32" t="inlineStr">
        <is>
          <t>PERIODICIDAD</t>
        </is>
      </c>
      <c r="G6" s="32" t="inlineStr">
        <is>
          <t>RESPONSABLE</t>
        </is>
      </c>
      <c r="H6" s="32" t="inlineStr">
        <is>
          <t>COMUNICARLO A :</t>
        </is>
      </c>
      <c r="I6" s="32" t="inlineStr">
        <is>
          <t>DATOS DEL MES</t>
        </is>
      </c>
      <c r="J6" s="188" t="n"/>
      <c r="K6" s="32" t="inlineStr">
        <is>
          <t>ENERO</t>
        </is>
      </c>
      <c r="L6" s="32" t="inlineStr">
        <is>
          <t>CUMPLIMIENTO (SI/NO)</t>
        </is>
      </c>
      <c r="M6" s="32" t="inlineStr">
        <is>
          <t>INTERPRETACIÓN DE RESULTADO</t>
        </is>
      </c>
      <c r="N6" s="57" t="inlineStr">
        <is>
          <t>DATOS DEL MES</t>
        </is>
      </c>
      <c r="O6" s="188" t="n"/>
      <c r="P6" s="57" t="inlineStr">
        <is>
          <t>FEBRERO</t>
        </is>
      </c>
      <c r="Q6" s="57" t="inlineStr">
        <is>
          <t>CUMPLIMIENTO (SI/NO)</t>
        </is>
      </c>
      <c r="R6" s="57" t="inlineStr">
        <is>
          <t>INTERPRETACIÓN DE RESULTADO</t>
        </is>
      </c>
      <c r="S6" s="32" t="inlineStr">
        <is>
          <t>DATOS DEL MES</t>
        </is>
      </c>
      <c r="T6" s="188" t="n"/>
      <c r="U6" s="32" t="inlineStr">
        <is>
          <t>MARZO</t>
        </is>
      </c>
      <c r="V6" s="32" t="inlineStr">
        <is>
          <t>CUMPLIMIENTO (SI/NO)</t>
        </is>
      </c>
      <c r="W6" s="32" t="inlineStr">
        <is>
          <t>INTERPRETACIÓN DE RESULTADO</t>
        </is>
      </c>
      <c r="X6" s="57" t="inlineStr">
        <is>
          <t>DATOS DEL MES</t>
        </is>
      </c>
      <c r="Y6" s="188" t="n"/>
      <c r="Z6" s="57" t="inlineStr">
        <is>
          <t>ABRIL</t>
        </is>
      </c>
      <c r="AA6" s="57" t="inlineStr">
        <is>
          <t>CUMPLIMIENTO (SI/NO)</t>
        </is>
      </c>
      <c r="AB6" s="57" t="inlineStr">
        <is>
          <t>INTERPRETACIÓN DE RESULTADO</t>
        </is>
      </c>
      <c r="AC6" s="32" t="inlineStr">
        <is>
          <t>DATOS DEL MES</t>
        </is>
      </c>
      <c r="AD6" s="188" t="n"/>
      <c r="AE6" s="32" t="inlineStr">
        <is>
          <t>MAYO</t>
        </is>
      </c>
      <c r="AF6" s="32" t="inlineStr">
        <is>
          <t>CUMPLIMIENTO (SI/NO)</t>
        </is>
      </c>
      <c r="AG6" s="32" t="inlineStr">
        <is>
          <t>INTERPRETACIÓN DE RESULTADO</t>
        </is>
      </c>
      <c r="AH6" s="57" t="inlineStr">
        <is>
          <t>DATOS DEL MES</t>
        </is>
      </c>
      <c r="AI6" s="188" t="n"/>
      <c r="AJ6" s="57" t="inlineStr">
        <is>
          <t>JUNIO</t>
        </is>
      </c>
      <c r="AK6" s="57" t="inlineStr">
        <is>
          <t>CUMPLIMIENTO (SI/NO)</t>
        </is>
      </c>
      <c r="AL6" s="57" t="inlineStr">
        <is>
          <t>INTERPRETACIÓN DE RESULTADO</t>
        </is>
      </c>
      <c r="AM6" s="32" t="inlineStr">
        <is>
          <t>DATOS DEL MES</t>
        </is>
      </c>
      <c r="AN6" s="188" t="n"/>
      <c r="AO6" s="32" t="inlineStr">
        <is>
          <t>JULIO</t>
        </is>
      </c>
      <c r="AP6" s="32" t="inlineStr">
        <is>
          <t>CUMPLIMIENTO (SI/NO)</t>
        </is>
      </c>
      <c r="AQ6" s="32" t="inlineStr">
        <is>
          <t>INTERPRETACIÓN DE RESULTADO</t>
        </is>
      </c>
      <c r="AR6" s="57" t="inlineStr">
        <is>
          <t>DATOS DEL MES</t>
        </is>
      </c>
      <c r="AS6" s="188" t="n"/>
      <c r="AT6" s="57" t="inlineStr">
        <is>
          <t>AGOSTO</t>
        </is>
      </c>
      <c r="AU6" s="57" t="inlineStr">
        <is>
          <t>CUMPLIMIENTO (SI/NO)</t>
        </is>
      </c>
      <c r="AV6" s="57" t="inlineStr">
        <is>
          <t>INTERPRETACIÓN DE RESULTADO</t>
        </is>
      </c>
      <c r="AW6" s="32" t="inlineStr">
        <is>
          <t>DATOS DEL MES</t>
        </is>
      </c>
      <c r="AX6" s="188" t="n"/>
      <c r="AY6" s="32" t="inlineStr">
        <is>
          <t>SEPTIEMBRE</t>
        </is>
      </c>
      <c r="AZ6" s="32" t="inlineStr">
        <is>
          <t>CUMPLIMIENTO (SI/NO)</t>
        </is>
      </c>
      <c r="BA6" s="32" t="inlineStr">
        <is>
          <t>INTERPRETACIÓN DE RESULTADO</t>
        </is>
      </c>
      <c r="BB6" s="57" t="inlineStr">
        <is>
          <t>DATOS DEL MES</t>
        </is>
      </c>
      <c r="BC6" s="188" t="n"/>
      <c r="BD6" s="57" t="inlineStr">
        <is>
          <t>OCTUBRE</t>
        </is>
      </c>
      <c r="BE6" s="57" t="inlineStr">
        <is>
          <t>CUMPLIMIENTO (SI/NO)</t>
        </is>
      </c>
      <c r="BF6" s="57" t="inlineStr">
        <is>
          <t>INTERPRETACIÓN DE RESULTADO</t>
        </is>
      </c>
      <c r="BG6" s="32" t="inlineStr">
        <is>
          <t>DATOS DEL MES</t>
        </is>
      </c>
      <c r="BH6" s="188" t="n"/>
      <c r="BI6" s="32" t="inlineStr">
        <is>
          <t>NOVIEMBRE</t>
        </is>
      </c>
      <c r="BJ6" s="32" t="inlineStr">
        <is>
          <t>CUMPLIMIENTO (SI/NO)</t>
        </is>
      </c>
      <c r="BK6" s="32" t="inlineStr">
        <is>
          <t>INTERPRETACIÓN DE RESULTADO</t>
        </is>
      </c>
      <c r="BL6" s="57" t="inlineStr">
        <is>
          <t>DATOS DEL MES</t>
        </is>
      </c>
      <c r="BM6" s="188" t="n"/>
      <c r="BN6" s="57" t="inlineStr">
        <is>
          <t>DICIEMBRE</t>
        </is>
      </c>
      <c r="BO6" s="57" t="inlineStr">
        <is>
          <t>CUMPLIMIENTO (SI/NO)</t>
        </is>
      </c>
      <c r="BP6" s="57" t="inlineStr">
        <is>
          <t>INTERPRETACIÓN DE RESULTADO</t>
        </is>
      </c>
    </row>
    <row r="7" ht="33" customFormat="1" customHeight="1" s="73">
      <c r="A7" s="131" t="inlineStr">
        <is>
          <t>FRECUENCIA DE ACCIDENTALIDAD</t>
        </is>
      </c>
      <c r="B7" s="131" t="inlineStr">
        <is>
          <t>Número de veces que ocurre un AT en el mes</t>
        </is>
      </c>
      <c r="C7" s="169" t="n">
        <v>0.3</v>
      </c>
      <c r="D7" s="131" t="inlineStr">
        <is>
          <t>(# de accidentes de trabajo que se presentaron en el mes/ # de trabajadores en el mes) x 100%</t>
        </is>
      </c>
      <c r="E7" s="131" t="inlineStr">
        <is>
          <t>Reporte de accidentes de trabajo</t>
        </is>
      </c>
      <c r="F7" s="131" t="inlineStr">
        <is>
          <t>MENSUAL</t>
        </is>
      </c>
      <c r="G7" s="131" t="inlineStr">
        <is>
          <t>Área SST, COPASST o VIGÍA</t>
        </is>
      </c>
      <c r="H7" s="171" t="inlineStr">
        <is>
          <t>Alta gerencia, COPASST/VIGÍA, CCL, brigadistas, área SST, trabajadores</t>
        </is>
      </c>
      <c r="I7" s="62" t="inlineStr">
        <is>
          <t># de accidentes en el mes:</t>
        </is>
      </c>
      <c r="J7" s="61" t="n">
        <v>0</v>
      </c>
      <c r="K7" s="145">
        <f>(J7/J8)*100%</f>
        <v/>
      </c>
      <c r="L7" s="143" t="inlineStr">
        <is>
          <t>SI</t>
        </is>
      </c>
      <c r="M7" s="144" t="n"/>
      <c r="N7" s="62" t="inlineStr">
        <is>
          <t># de accidentes en el mes:</t>
        </is>
      </c>
      <c r="O7" s="61" t="n">
        <v>1</v>
      </c>
      <c r="P7" s="145">
        <f>(O7/O8)*100%</f>
        <v/>
      </c>
      <c r="Q7" s="143" t="inlineStr">
        <is>
          <t>NO</t>
        </is>
      </c>
      <c r="R7" s="144" t="inlineStr">
        <is>
          <t>Por cada 100 trabajadores que laboraron en el mes de febrero, se presentaron 20%  accidentes de trabajo.</t>
        </is>
      </c>
      <c r="S7" s="62" t="inlineStr">
        <is>
          <t># de accidentes en el mes:</t>
        </is>
      </c>
      <c r="T7" s="61" t="n">
        <v>0</v>
      </c>
      <c r="U7" s="145">
        <f>(T7/T8)*100%</f>
        <v/>
      </c>
      <c r="V7" s="143" t="inlineStr">
        <is>
          <t>SI</t>
        </is>
      </c>
      <c r="W7" s="144" t="n"/>
      <c r="X7" s="62" t="inlineStr">
        <is>
          <t># de accidentes en el mes:</t>
        </is>
      </c>
      <c r="Y7" s="61" t="n">
        <v>0</v>
      </c>
      <c r="Z7" s="145">
        <f>(Y7/Y8)*100%</f>
        <v/>
      </c>
      <c r="AA7" s="143" t="inlineStr">
        <is>
          <t>SI</t>
        </is>
      </c>
      <c r="AB7" s="144" t="n"/>
      <c r="AC7" s="62" t="inlineStr">
        <is>
          <t># de accidentes en el mes:</t>
        </is>
      </c>
      <c r="AD7" s="61" t="n">
        <v>0</v>
      </c>
      <c r="AE7" s="145">
        <f>(AD7/AD8)*100%</f>
        <v/>
      </c>
      <c r="AF7" s="143" t="inlineStr">
        <is>
          <t>SI</t>
        </is>
      </c>
      <c r="AG7" s="144" t="n"/>
      <c r="AH7" s="62" t="inlineStr">
        <is>
          <t># de accidentes en el mes:</t>
        </is>
      </c>
      <c r="AI7" s="61" t="n">
        <v>0</v>
      </c>
      <c r="AJ7" s="145">
        <f>(AI7/AI8)*100%</f>
        <v/>
      </c>
      <c r="AK7" s="143" t="inlineStr">
        <is>
          <t>SI</t>
        </is>
      </c>
      <c r="AL7" s="168" t="n"/>
      <c r="AM7" s="62" t="inlineStr">
        <is>
          <t># de accidentes en el mes:</t>
        </is>
      </c>
      <c r="AN7" s="61" t="n">
        <v>0</v>
      </c>
      <c r="AO7" s="147">
        <f>(AN7/AN8)*100</f>
        <v/>
      </c>
      <c r="AP7" s="143" t="inlineStr">
        <is>
          <t>SI</t>
        </is>
      </c>
      <c r="AQ7" s="144" t="n"/>
      <c r="AR7" s="62" t="inlineStr">
        <is>
          <t># de accidentes en el mes:</t>
        </is>
      </c>
      <c r="AS7" s="61" t="n">
        <v>0</v>
      </c>
      <c r="AT7" s="147">
        <f>(AS7/AS8)*100</f>
        <v/>
      </c>
      <c r="AU7" s="143" t="inlineStr">
        <is>
          <t>SI</t>
        </is>
      </c>
      <c r="AV7" s="144" t="n"/>
      <c r="AW7" s="62" t="inlineStr">
        <is>
          <t># de accidentes en el mes:</t>
        </is>
      </c>
      <c r="AX7" s="61" t="n">
        <v>0</v>
      </c>
      <c r="AY7" s="147">
        <f>(AX7/AX8)*100</f>
        <v/>
      </c>
      <c r="AZ7" s="143" t="inlineStr">
        <is>
          <t>SI</t>
        </is>
      </c>
      <c r="BA7" s="144" t="n"/>
      <c r="BB7" s="62" t="inlineStr">
        <is>
          <t># de accidentes en el mes:</t>
        </is>
      </c>
      <c r="BC7" s="61" t="n">
        <v>0</v>
      </c>
      <c r="BD7" s="147">
        <f>(BC7/BC8)*100</f>
        <v/>
      </c>
      <c r="BE7" s="143" t="inlineStr">
        <is>
          <t>SI</t>
        </is>
      </c>
      <c r="BF7" s="144" t="n"/>
      <c r="BG7" s="62" t="inlineStr">
        <is>
          <t># de accidentes en el mes:</t>
        </is>
      </c>
      <c r="BH7" s="61" t="n">
        <v>1</v>
      </c>
      <c r="BI7" s="147">
        <f>(BH7/BH8)*100%</f>
        <v/>
      </c>
      <c r="BJ7" s="143" t="inlineStr">
        <is>
          <t>NO</t>
        </is>
      </c>
      <c r="BK7" s="144" t="inlineStr">
        <is>
          <t>Por cada 100 trabajadores que laboraron en el mes de octubre, se presentaron 7%  accidentes de trabajo.</t>
        </is>
      </c>
      <c r="BL7" s="62" t="inlineStr">
        <is>
          <t># de accidentes en el mes:</t>
        </is>
      </c>
      <c r="BM7" s="61" t="n">
        <v>0</v>
      </c>
      <c r="BN7" s="147">
        <f>(BM7/BM8)*100</f>
        <v/>
      </c>
      <c r="BO7" s="143" t="inlineStr">
        <is>
          <t>SI</t>
        </is>
      </c>
      <c r="BP7" s="144" t="n"/>
    </row>
    <row r="8" ht="37.5" customHeight="1" s="78">
      <c r="A8" s="192" t="n"/>
      <c r="B8" s="192" t="n"/>
      <c r="C8" s="192" t="n"/>
      <c r="D8" s="192" t="n"/>
      <c r="E8" s="192" t="n"/>
      <c r="F8" s="192" t="n"/>
      <c r="G8" s="192" t="n"/>
      <c r="H8" s="192" t="n"/>
      <c r="I8" s="60" t="inlineStr">
        <is>
          <t xml:space="preserve"># de trabajadores en el mes: </t>
        </is>
      </c>
      <c r="J8" s="61" t="n">
        <v>6</v>
      </c>
      <c r="K8" s="192" t="n"/>
      <c r="L8" s="192" t="n"/>
      <c r="M8" s="192" t="n"/>
      <c r="N8" s="60" t="inlineStr">
        <is>
          <t xml:space="preserve"># de trabajadores en el mes: </t>
        </is>
      </c>
      <c r="O8" s="61" t="n">
        <v>5</v>
      </c>
      <c r="P8" s="192" t="n"/>
      <c r="Q8" s="192" t="n"/>
      <c r="R8" s="192" t="n"/>
      <c r="S8" s="60" t="inlineStr">
        <is>
          <t xml:space="preserve"># de trabajadores en el mes: </t>
        </is>
      </c>
      <c r="T8" s="61" t="n">
        <v>4</v>
      </c>
      <c r="U8" s="192" t="n"/>
      <c r="V8" s="192" t="n"/>
      <c r="W8" s="192" t="n"/>
      <c r="X8" s="60" t="inlineStr">
        <is>
          <t xml:space="preserve"># de trabajadores en el mes: </t>
        </is>
      </c>
      <c r="Y8" s="61" t="n">
        <v>4</v>
      </c>
      <c r="Z8" s="192" t="n"/>
      <c r="AA8" s="192" t="n"/>
      <c r="AB8" s="192" t="n"/>
      <c r="AC8" s="60" t="inlineStr">
        <is>
          <t xml:space="preserve"># de trabajadores en el mes: </t>
        </is>
      </c>
      <c r="AD8" s="61" t="n">
        <v>4</v>
      </c>
      <c r="AE8" s="192" t="n"/>
      <c r="AF8" s="192" t="n"/>
      <c r="AG8" s="192" t="n"/>
      <c r="AH8" s="60" t="inlineStr">
        <is>
          <t xml:space="preserve"># de trabajadores en el mes: </t>
        </is>
      </c>
      <c r="AI8" s="61" t="n">
        <v>4</v>
      </c>
      <c r="AJ8" s="192" t="n"/>
      <c r="AK8" s="192" t="n"/>
      <c r="AL8" s="192" t="n"/>
      <c r="AM8" s="60" t="inlineStr">
        <is>
          <t xml:space="preserve"># de trabajadores en el mes: </t>
        </is>
      </c>
      <c r="AN8" s="61" t="n">
        <v>4</v>
      </c>
      <c r="AO8" s="192" t="n"/>
      <c r="AP8" s="192" t="n"/>
      <c r="AQ8" s="192" t="n"/>
      <c r="AR8" s="60" t="inlineStr">
        <is>
          <t xml:space="preserve"># de trabajadores en el mes: </t>
        </is>
      </c>
      <c r="AS8" s="61" t="n">
        <v>5</v>
      </c>
      <c r="AT8" s="192" t="n"/>
      <c r="AU8" s="192" t="n"/>
      <c r="AV8" s="192" t="n"/>
      <c r="AW8" s="60" t="inlineStr">
        <is>
          <t xml:space="preserve"># de trabajadores en el mes: </t>
        </is>
      </c>
      <c r="AX8" s="61" t="n">
        <v>6</v>
      </c>
      <c r="AY8" s="192" t="n"/>
      <c r="AZ8" s="192" t="n"/>
      <c r="BA8" s="192" t="n"/>
      <c r="BB8" s="60" t="inlineStr">
        <is>
          <t xml:space="preserve"># de trabajadores en el mes: </t>
        </is>
      </c>
      <c r="BC8" s="61" t="n">
        <v>3</v>
      </c>
      <c r="BD8" s="192" t="n"/>
      <c r="BE8" s="192" t="n"/>
      <c r="BF8" s="192" t="n"/>
      <c r="BG8" s="60" t="inlineStr">
        <is>
          <t xml:space="preserve"># de trabajadores en el mes: </t>
        </is>
      </c>
      <c r="BH8" s="61" t="n">
        <v>15</v>
      </c>
      <c r="BI8" s="192" t="n"/>
      <c r="BJ8" s="192" t="n"/>
      <c r="BK8" s="192" t="n"/>
      <c r="BL8" s="60" t="inlineStr">
        <is>
          <t xml:space="preserve"># de trabajadores en el mes: </t>
        </is>
      </c>
      <c r="BM8" s="61" t="n">
        <v>14</v>
      </c>
      <c r="BN8" s="192" t="n"/>
      <c r="BO8" s="192" t="n"/>
      <c r="BP8" s="192" t="n"/>
    </row>
    <row r="9">
      <c r="I9" s="71" t="n"/>
      <c r="J9" s="71" t="n"/>
      <c r="K9" s="72" t="n"/>
      <c r="L9" s="73" t="n"/>
      <c r="M9" s="73" t="n"/>
      <c r="N9" s="73" t="n"/>
      <c r="O9" s="73" t="n"/>
      <c r="P9" s="72" t="n"/>
      <c r="Q9" s="72" t="n"/>
      <c r="R9" s="72" t="n"/>
      <c r="S9" s="73" t="n"/>
      <c r="T9" s="73" t="n"/>
      <c r="U9" s="72" t="n"/>
      <c r="V9" s="72" t="n"/>
      <c r="W9" s="72" t="n"/>
      <c r="X9" s="73" t="n"/>
    </row>
    <row r="10">
      <c r="I10" s="71" t="n"/>
      <c r="J10" s="71" t="n"/>
      <c r="K10" s="72" t="n"/>
      <c r="L10" s="73" t="n"/>
      <c r="M10" s="73" t="n"/>
      <c r="N10" s="73" t="n"/>
      <c r="O10" s="73" t="n"/>
      <c r="P10" s="72" t="n"/>
      <c r="Q10" s="72" t="n"/>
      <c r="R10" s="72" t="n"/>
      <c r="S10" s="73" t="n"/>
      <c r="T10" s="73" t="n"/>
      <c r="U10" s="72" t="n"/>
      <c r="V10" s="72" t="n"/>
      <c r="W10" s="72" t="n"/>
      <c r="X10" s="73" t="n"/>
    </row>
    <row r="11">
      <c r="I11" s="71" t="n"/>
      <c r="J11" s="71" t="n"/>
      <c r="K11" s="72" t="n"/>
      <c r="L11" s="73" t="n"/>
      <c r="M11" s="73" t="n"/>
      <c r="N11" s="73" t="n"/>
      <c r="O11" s="73" t="n"/>
      <c r="P11" s="72" t="n"/>
      <c r="Q11" s="72" t="n"/>
      <c r="R11" s="72" t="n"/>
      <c r="S11" s="73" t="n"/>
      <c r="T11" s="73" t="n"/>
      <c r="U11" s="72" t="n"/>
      <c r="V11" s="72" t="n"/>
      <c r="W11" s="72" t="n"/>
      <c r="X11" s="73" t="n"/>
    </row>
    <row r="12">
      <c r="I12" s="71" t="n"/>
      <c r="J12" s="71" t="n"/>
      <c r="K12" s="72" t="n"/>
      <c r="L12" s="73" t="n"/>
      <c r="M12" s="73" t="n"/>
      <c r="N12" s="73" t="n"/>
      <c r="O12" s="73" t="n"/>
      <c r="P12" s="72" t="n"/>
      <c r="Q12" s="72" t="n"/>
      <c r="R12" s="72" t="n"/>
      <c r="S12" s="73" t="n"/>
      <c r="T12" s="73" t="n"/>
      <c r="U12" s="72" t="n"/>
      <c r="V12" s="72" t="n"/>
      <c r="W12" s="72" t="n"/>
      <c r="X12" s="73" t="n"/>
    </row>
    <row r="13">
      <c r="I13" s="71" t="n"/>
      <c r="J13" s="71" t="n"/>
      <c r="K13" s="72" t="n"/>
      <c r="L13" s="73" t="n"/>
      <c r="M13" s="73" t="n"/>
      <c r="N13" s="73" t="n"/>
      <c r="O13" s="73" t="n"/>
      <c r="P13" s="72" t="n"/>
      <c r="Q13" s="72" t="n"/>
      <c r="R13" s="72" t="n"/>
      <c r="S13" s="73" t="n"/>
      <c r="T13" s="73" t="n"/>
      <c r="U13" s="72" t="n"/>
      <c r="V13" s="72" t="n"/>
      <c r="W13" s="72" t="n"/>
      <c r="X13" s="73" t="n"/>
    </row>
    <row r="14">
      <c r="I14" s="71" t="n"/>
      <c r="J14" s="71" t="n"/>
      <c r="K14" s="72" t="n"/>
      <c r="L14" s="73" t="n"/>
      <c r="M14" s="73" t="n"/>
      <c r="N14" s="73" t="n"/>
      <c r="O14" s="73" t="n"/>
      <c r="P14" s="72" t="n"/>
      <c r="Q14" s="72" t="n"/>
      <c r="R14" s="72" t="n"/>
      <c r="S14" s="73" t="n"/>
      <c r="T14" s="73" t="n"/>
      <c r="U14" s="72" t="n"/>
      <c r="V14" s="72" t="n"/>
      <c r="W14" s="72" t="n"/>
      <c r="X14" s="73" t="n"/>
    </row>
    <row r="15">
      <c r="I15" s="71" t="n"/>
      <c r="J15" s="71" t="n"/>
      <c r="K15" s="72" t="n"/>
      <c r="L15" s="73" t="n"/>
      <c r="M15" s="73" t="n"/>
      <c r="N15" s="73" t="n"/>
      <c r="O15" s="73" t="n"/>
      <c r="P15" s="72" t="n"/>
      <c r="Q15" s="72" t="n"/>
      <c r="R15" s="72" t="n"/>
      <c r="S15" s="73" t="n"/>
      <c r="T15" s="73" t="n"/>
      <c r="U15" s="72" t="n"/>
      <c r="V15" s="72" t="n"/>
      <c r="W15" s="72" t="n"/>
      <c r="X15" s="73" t="n"/>
    </row>
    <row r="16">
      <c r="I16" s="71" t="n"/>
      <c r="J16" s="71" t="n"/>
      <c r="K16" s="72" t="n"/>
      <c r="L16" s="73" t="n"/>
      <c r="M16" s="73" t="n"/>
      <c r="N16" s="73" t="n"/>
      <c r="O16" s="73" t="n"/>
      <c r="P16" s="72" t="n"/>
      <c r="Q16" s="72" t="n"/>
      <c r="R16" s="72" t="n"/>
      <c r="S16" s="73" t="n"/>
      <c r="T16" s="73" t="n"/>
      <c r="U16" s="72" t="n"/>
      <c r="V16" s="72" t="n"/>
      <c r="W16" s="72" t="n"/>
      <c r="X16" s="73" t="n"/>
    </row>
    <row r="17">
      <c r="I17" s="71" t="n"/>
      <c r="J17" s="71" t="n"/>
      <c r="K17" s="72" t="n"/>
      <c r="L17" s="73" t="n"/>
      <c r="M17" s="73" t="n"/>
      <c r="N17" s="73" t="n"/>
      <c r="O17" s="73" t="n"/>
      <c r="P17" s="72" t="n"/>
      <c r="Q17" s="72" t="n"/>
      <c r="R17" s="72" t="n"/>
      <c r="S17" s="73" t="n"/>
      <c r="T17" s="73" t="n"/>
      <c r="U17" s="72" t="n"/>
      <c r="V17" s="72" t="n"/>
      <c r="W17" s="72" t="n"/>
      <c r="X17" s="73" t="n"/>
    </row>
    <row r="18">
      <c r="I18" s="71" t="n"/>
      <c r="J18" s="71" t="n"/>
      <c r="K18" s="72" t="n"/>
      <c r="L18" s="73" t="n"/>
      <c r="M18" s="73" t="n"/>
      <c r="N18" s="73" t="n"/>
      <c r="O18" s="73" t="n"/>
      <c r="P18" s="72" t="n"/>
      <c r="Q18" s="72" t="n"/>
      <c r="R18" s="72" t="n"/>
      <c r="S18" s="73" t="n"/>
      <c r="T18" s="73" t="n"/>
      <c r="U18" s="72" t="n"/>
      <c r="V18" s="72" t="n"/>
      <c r="W18" s="72" t="n"/>
      <c r="X18" s="73" t="n"/>
    </row>
    <row r="19">
      <c r="I19" s="71" t="n"/>
      <c r="J19" s="71" t="n"/>
      <c r="K19" s="72" t="n"/>
      <c r="L19" s="73" t="n"/>
      <c r="M19" s="73" t="n"/>
      <c r="N19" s="73" t="n"/>
      <c r="O19" s="73" t="n"/>
      <c r="P19" s="72" t="n"/>
      <c r="Q19" s="72" t="n"/>
      <c r="R19" s="72" t="n"/>
      <c r="S19" s="73" t="n"/>
      <c r="T19" s="73" t="n"/>
      <c r="U19" s="72" t="n"/>
      <c r="V19" s="72" t="n"/>
      <c r="W19" s="72" t="n"/>
      <c r="X19" s="73" t="n"/>
    </row>
    <row r="20">
      <c r="I20" s="71" t="n"/>
      <c r="J20" s="71" t="n"/>
      <c r="K20" s="72" t="n"/>
      <c r="L20" s="73" t="n"/>
      <c r="M20" s="73" t="n"/>
      <c r="N20" s="73" t="n"/>
      <c r="O20" s="73" t="n"/>
      <c r="P20" s="72" t="n"/>
      <c r="Q20" s="72" t="n"/>
      <c r="R20" s="72" t="n"/>
      <c r="S20" s="73" t="n"/>
      <c r="T20" s="73" t="n"/>
      <c r="U20" s="72" t="n"/>
      <c r="V20" s="72" t="n"/>
      <c r="W20" s="72" t="n"/>
      <c r="X20" s="73" t="n"/>
    </row>
    <row r="21">
      <c r="I21" s="71" t="n"/>
      <c r="J21" s="71" t="n"/>
      <c r="K21" s="72" t="n"/>
      <c r="L21" s="73" t="n"/>
      <c r="M21" s="73" t="n"/>
      <c r="N21" s="73" t="n"/>
      <c r="O21" s="73" t="n"/>
      <c r="P21" s="72" t="n"/>
      <c r="Q21" s="72" t="n"/>
      <c r="R21" s="72" t="n"/>
      <c r="S21" s="73" t="n"/>
      <c r="T21" s="73" t="n"/>
      <c r="U21" s="72" t="n"/>
      <c r="V21" s="72" t="n"/>
      <c r="W21" s="72" t="n"/>
      <c r="X21" s="73" t="n"/>
    </row>
    <row r="22">
      <c r="I22" s="71" t="n"/>
      <c r="J22" s="71" t="n"/>
      <c r="K22" s="72" t="n"/>
      <c r="L22" s="73" t="n"/>
      <c r="M22" s="73" t="n"/>
      <c r="N22" s="73" t="n"/>
      <c r="O22" s="73" t="n"/>
      <c r="P22" s="72" t="n"/>
      <c r="Q22" s="72" t="n"/>
      <c r="R22" s="72" t="n"/>
      <c r="S22" s="73" t="n"/>
      <c r="T22" s="73" t="n"/>
      <c r="U22" s="72" t="n"/>
      <c r="V22" s="72" t="n"/>
      <c r="W22" s="72" t="n"/>
      <c r="X22" s="73" t="n"/>
    </row>
    <row r="23">
      <c r="I23" s="71" t="n"/>
      <c r="J23" s="71" t="n"/>
      <c r="K23" s="72" t="n"/>
      <c r="L23" s="73" t="n"/>
      <c r="M23" s="73" t="n"/>
      <c r="N23" s="73" t="n"/>
      <c r="O23" s="73" t="n"/>
      <c r="P23" s="72" t="n"/>
      <c r="Q23" s="72" t="n"/>
      <c r="R23" s="72" t="n"/>
      <c r="S23" s="73" t="n"/>
      <c r="T23" s="73" t="n"/>
      <c r="U23" s="72" t="n"/>
      <c r="V23" s="72" t="n"/>
      <c r="W23" s="72" t="n"/>
      <c r="X23" s="73" t="n"/>
    </row>
    <row r="24">
      <c r="I24" s="71" t="n"/>
      <c r="J24" s="71" t="n"/>
      <c r="K24" s="72" t="n"/>
      <c r="L24" s="73" t="n"/>
      <c r="M24" s="73" t="n"/>
      <c r="N24" s="73" t="n"/>
      <c r="O24" s="73" t="n"/>
      <c r="P24" s="72" t="n"/>
      <c r="Q24" s="72" t="n"/>
      <c r="R24" s="72" t="n"/>
      <c r="S24" s="73" t="n"/>
      <c r="T24" s="73" t="n"/>
      <c r="U24" s="72" t="n"/>
      <c r="V24" s="72" t="n"/>
      <c r="W24" s="72" t="n"/>
      <c r="X24" s="73" t="n"/>
    </row>
    <row r="25">
      <c r="I25" s="71" t="n"/>
      <c r="J25" s="71" t="n"/>
      <c r="K25" s="72" t="n"/>
      <c r="L25" s="73" t="n"/>
      <c r="M25" s="73" t="n"/>
      <c r="N25" s="73" t="n"/>
      <c r="O25" s="73" t="n"/>
      <c r="P25" s="72" t="n"/>
      <c r="Q25" s="72" t="n"/>
      <c r="R25" s="72" t="n"/>
      <c r="S25" s="73" t="n"/>
      <c r="T25" s="73" t="n"/>
      <c r="U25" s="72" t="n"/>
      <c r="V25" s="72" t="n"/>
      <c r="W25" s="72" t="n"/>
      <c r="X25" s="73" t="n"/>
    </row>
    <row r="26">
      <c r="I26" s="71" t="n"/>
      <c r="J26" s="71" t="n"/>
      <c r="K26" s="72" t="n"/>
      <c r="L26" s="73" t="n"/>
      <c r="M26" s="73" t="n"/>
      <c r="N26" s="73" t="n"/>
      <c r="O26" s="73" t="n"/>
      <c r="P26" s="72" t="n"/>
      <c r="Q26" s="72" t="n"/>
      <c r="R26" s="72" t="n"/>
      <c r="S26" s="73" t="n"/>
      <c r="T26" s="73" t="n"/>
      <c r="U26" s="72" t="n"/>
      <c r="V26" s="72" t="n"/>
      <c r="W26" s="72" t="n"/>
      <c r="X26" s="73" t="n"/>
    </row>
    <row r="27">
      <c r="I27" s="71" t="n"/>
      <c r="J27" s="71" t="n"/>
      <c r="K27" s="72" t="n"/>
      <c r="L27" s="73" t="n"/>
      <c r="M27" s="73" t="n"/>
      <c r="N27" s="73" t="n"/>
      <c r="O27" s="73" t="n"/>
      <c r="P27" s="72" t="n"/>
      <c r="Q27" s="72" t="n"/>
      <c r="R27" s="72" t="n"/>
      <c r="S27" s="73" t="n"/>
      <c r="T27" s="73" t="n"/>
      <c r="U27" s="72" t="n"/>
      <c r="V27" s="72" t="n"/>
      <c r="W27" s="72" t="n"/>
      <c r="X27" s="73" t="n"/>
    </row>
    <row r="28">
      <c r="I28" s="71" t="n"/>
      <c r="J28" s="71" t="n"/>
      <c r="K28" s="72" t="n"/>
      <c r="L28" s="73" t="n"/>
      <c r="M28" s="73" t="n"/>
      <c r="N28" s="73" t="n"/>
      <c r="O28" s="73" t="n"/>
      <c r="P28" s="72" t="n"/>
      <c r="Q28" s="72" t="n"/>
      <c r="R28" s="72" t="n"/>
      <c r="S28" s="73" t="n"/>
      <c r="T28" s="73" t="n"/>
      <c r="U28" s="72" t="n"/>
      <c r="V28" s="72" t="n"/>
      <c r="W28" s="72" t="n"/>
      <c r="X28" s="73" t="n"/>
    </row>
    <row r="29">
      <c r="A29" s="132" t="inlineStr">
        <is>
          <t>INDICADORES RESOLUCIÓN 0312/2019 - AÑO 2026</t>
        </is>
      </c>
      <c r="B29" s="185" t="n"/>
      <c r="C29" s="185" t="n"/>
      <c r="D29" s="185" t="n"/>
      <c r="E29" s="185" t="n"/>
      <c r="F29" s="185" t="n"/>
      <c r="G29" s="185" t="n"/>
      <c r="H29" s="186" t="n"/>
      <c r="I29" s="101" t="inlineStr">
        <is>
          <t xml:space="preserve">RESULTADOS </t>
        </is>
      </c>
      <c r="J29" s="194" t="n"/>
      <c r="K29" s="194" t="n"/>
      <c r="L29" s="194" t="n"/>
      <c r="M29" s="194" t="n"/>
      <c r="N29" s="194" t="n"/>
      <c r="O29" s="194" t="n"/>
      <c r="P29" s="194" t="n"/>
      <c r="Q29" s="194" t="n"/>
      <c r="R29" s="194" t="n"/>
      <c r="S29" s="194" t="n"/>
      <c r="T29" s="194" t="n"/>
      <c r="U29" s="194" t="n"/>
      <c r="V29" s="194" t="n"/>
      <c r="W29" s="194" t="n"/>
      <c r="X29" s="194" t="n"/>
      <c r="Y29" s="194" t="n"/>
      <c r="Z29" s="194" t="n"/>
      <c r="AA29" s="194" t="n"/>
      <c r="AB29" s="194" t="n"/>
      <c r="AC29" s="194" t="n"/>
      <c r="AD29" s="194" t="n"/>
      <c r="AE29" s="194" t="n"/>
      <c r="AF29" s="194" t="n"/>
      <c r="AG29" s="194" t="n"/>
      <c r="AH29" s="194" t="n"/>
      <c r="AI29" s="194" t="n"/>
      <c r="AJ29" s="194" t="n"/>
      <c r="AK29" s="194" t="n"/>
      <c r="AL29" s="194" t="n"/>
      <c r="AM29" s="194" t="n"/>
      <c r="AN29" s="194" t="n"/>
      <c r="AO29" s="194" t="n"/>
      <c r="AP29" s="194" t="n"/>
      <c r="AQ29" s="194" t="n"/>
      <c r="AR29" s="194" t="n"/>
      <c r="AS29" s="194" t="n"/>
      <c r="AT29" s="194" t="n"/>
      <c r="AU29" s="194" t="n"/>
      <c r="AV29" s="194" t="n"/>
      <c r="AW29" s="194" t="n"/>
      <c r="AX29" s="194" t="n"/>
      <c r="AY29" s="194" t="n"/>
      <c r="AZ29" s="194" t="n"/>
      <c r="BA29" s="194" t="n"/>
      <c r="BB29" s="194" t="n"/>
      <c r="BC29" s="194" t="n"/>
      <c r="BD29" s="194" t="n"/>
      <c r="BE29" s="194" t="n"/>
      <c r="BF29" s="194" t="n"/>
      <c r="BG29" s="194" t="n"/>
      <c r="BH29" s="194" t="n"/>
      <c r="BI29" s="194" t="n"/>
      <c r="BJ29" s="194" t="n"/>
      <c r="BK29" s="194" t="n"/>
      <c r="BL29" s="194" t="n"/>
      <c r="BM29" s="194" t="n"/>
      <c r="BN29" s="194" t="n"/>
      <c r="BO29" s="194" t="n"/>
      <c r="BP29" s="100" t="n"/>
    </row>
    <row r="30">
      <c r="A30" s="193" t="n"/>
      <c r="B30" s="194" t="n"/>
      <c r="C30" s="194" t="n"/>
      <c r="D30" s="194" t="n"/>
      <c r="E30" s="194" t="n"/>
      <c r="F30" s="194" t="n"/>
      <c r="G30" s="194" t="n"/>
      <c r="H30" s="195" t="n"/>
      <c r="I30" s="70" t="inlineStr">
        <is>
          <t>AÑO: 2026</t>
        </is>
      </c>
      <c r="J30" s="187" t="n"/>
      <c r="K30" s="187" t="n"/>
      <c r="L30" s="187" t="n"/>
      <c r="M30" s="187" t="n"/>
      <c r="N30" s="187" t="n"/>
      <c r="O30" s="187" t="n"/>
      <c r="P30" s="187" t="n"/>
      <c r="Q30" s="187" t="n"/>
      <c r="R30" s="187" t="n"/>
      <c r="S30" s="187" t="n"/>
      <c r="T30" s="187" t="n"/>
      <c r="U30" s="187" t="n"/>
      <c r="V30" s="187" t="n"/>
      <c r="W30" s="187" t="n"/>
      <c r="X30" s="187" t="n"/>
      <c r="Y30" s="187" t="n"/>
      <c r="Z30" s="187" t="n"/>
      <c r="AA30" s="187" t="n"/>
      <c r="AB30" s="187" t="n"/>
      <c r="AC30" s="187" t="n"/>
      <c r="AD30" s="187" t="n"/>
      <c r="AE30" s="187" t="n"/>
      <c r="AF30" s="187" t="n"/>
      <c r="AG30" s="187" t="n"/>
      <c r="AH30" s="187" t="n"/>
      <c r="AI30" s="187" t="n"/>
      <c r="AJ30" s="187" t="n"/>
      <c r="AK30" s="187" t="n"/>
      <c r="AL30" s="187" t="n"/>
      <c r="AM30" s="187" t="n"/>
      <c r="AN30" s="187" t="n"/>
      <c r="AO30" s="187" t="n"/>
      <c r="AP30" s="187" t="n"/>
      <c r="AQ30" s="187" t="n"/>
      <c r="AR30" s="187" t="n"/>
      <c r="AS30" s="187" t="n"/>
      <c r="AT30" s="187" t="n"/>
      <c r="AU30" s="187" t="n"/>
      <c r="AV30" s="187" t="n"/>
      <c r="AW30" s="187" t="n"/>
      <c r="AX30" s="187" t="n"/>
      <c r="AY30" s="187" t="n"/>
      <c r="AZ30" s="187" t="n"/>
      <c r="BA30" s="187" t="n"/>
      <c r="BB30" s="187" t="n"/>
      <c r="BC30" s="187" t="n"/>
      <c r="BD30" s="187" t="n"/>
      <c r="BE30" s="187" t="n"/>
      <c r="BF30" s="187" t="n"/>
      <c r="BG30" s="187" t="n"/>
      <c r="BH30" s="187" t="n"/>
      <c r="BI30" s="187" t="n"/>
      <c r="BJ30" s="187" t="n"/>
      <c r="BK30" s="187" t="n"/>
      <c r="BL30" s="187" t="n"/>
      <c r="BM30" s="187" t="n"/>
      <c r="BN30" s="187" t="n"/>
      <c r="BO30" s="188" t="n"/>
      <c r="BP30" s="70" t="n"/>
    </row>
    <row r="31" ht="22.5" customHeight="1" s="78">
      <c r="A31" s="32" t="inlineStr">
        <is>
          <t>DEFINICION DEL INDICADOR</t>
        </is>
      </c>
      <c r="B31" s="32" t="inlineStr">
        <is>
          <t>INTERPRETACION</t>
        </is>
      </c>
      <c r="C31" s="32" t="inlineStr">
        <is>
          <t>LIMITE DEL INDICADOR</t>
        </is>
      </c>
      <c r="D31" s="32" t="inlineStr">
        <is>
          <t>METODO DE CALCULO Y/O VERIFICACION</t>
        </is>
      </c>
      <c r="E31" s="32" t="inlineStr">
        <is>
          <t>FUENTE DE INFORMACION</t>
        </is>
      </c>
      <c r="F31" s="32" t="inlineStr">
        <is>
          <t>PERIODICIDAD</t>
        </is>
      </c>
      <c r="G31" s="32" t="inlineStr">
        <is>
          <t>RESPONSABLE</t>
        </is>
      </c>
      <c r="H31" s="32" t="inlineStr">
        <is>
          <t>COMUNICARLO A :</t>
        </is>
      </c>
      <c r="I31" s="32" t="inlineStr">
        <is>
          <t>DATOS DEL MES</t>
        </is>
      </c>
      <c r="J31" s="188" t="n"/>
      <c r="K31" s="32" t="inlineStr">
        <is>
          <t>ENERO</t>
        </is>
      </c>
      <c r="L31" s="32" t="inlineStr">
        <is>
          <t>CUMPLIMIENTO (SI/NO)</t>
        </is>
      </c>
      <c r="M31" s="32" t="inlineStr">
        <is>
          <t>INTERPRETACIÓN DE RESULTADO</t>
        </is>
      </c>
      <c r="N31" s="57" t="inlineStr">
        <is>
          <t>DATOS DEL MES</t>
        </is>
      </c>
      <c r="O31" s="188" t="n"/>
      <c r="P31" s="57" t="inlineStr">
        <is>
          <t>FEBRERO</t>
        </is>
      </c>
      <c r="Q31" s="57" t="inlineStr">
        <is>
          <t>CUMPLIMIENTO (SI/NO)</t>
        </is>
      </c>
      <c r="R31" s="57" t="inlineStr">
        <is>
          <t>INTERPRETACIÓN DE RESULTADO</t>
        </is>
      </c>
      <c r="S31" s="32" t="inlineStr">
        <is>
          <t>DATOS DEL MES</t>
        </is>
      </c>
      <c r="T31" s="188" t="n"/>
      <c r="U31" s="32" t="inlineStr">
        <is>
          <t>MARZO</t>
        </is>
      </c>
      <c r="V31" s="32" t="inlineStr">
        <is>
          <t>CUMPLIMIENTO (SI/NO)</t>
        </is>
      </c>
      <c r="W31" s="32" t="inlineStr">
        <is>
          <t>INTERPRETACIÓN DE RESULTADO</t>
        </is>
      </c>
      <c r="X31" s="57" t="inlineStr">
        <is>
          <t>DATOS DEL MES</t>
        </is>
      </c>
      <c r="Y31" s="188" t="n"/>
      <c r="Z31" s="57" t="inlineStr">
        <is>
          <t>ABRIL</t>
        </is>
      </c>
      <c r="AA31" s="57" t="inlineStr">
        <is>
          <t>CUMPLIMIENTO (SI/NO)</t>
        </is>
      </c>
      <c r="AB31" s="57" t="inlineStr">
        <is>
          <t>INTERPRETACIÓN DE RESULTADO</t>
        </is>
      </c>
      <c r="AC31" s="32" t="inlineStr">
        <is>
          <t>DATOS DEL MES</t>
        </is>
      </c>
      <c r="AD31" s="188" t="n"/>
      <c r="AE31" s="32" t="inlineStr">
        <is>
          <t>MAYO</t>
        </is>
      </c>
      <c r="AF31" s="32" t="inlineStr">
        <is>
          <t>CUMPLIMIENTO (SI/NO)</t>
        </is>
      </c>
      <c r="AG31" s="32" t="inlineStr">
        <is>
          <t>INTERPRETACIÓN DE RESULTADO</t>
        </is>
      </c>
      <c r="AH31" s="57" t="inlineStr">
        <is>
          <t>DATOS DEL MES</t>
        </is>
      </c>
      <c r="AI31" s="188" t="n"/>
      <c r="AJ31" s="57" t="inlineStr">
        <is>
          <t>JUNIO</t>
        </is>
      </c>
      <c r="AK31" s="57" t="inlineStr">
        <is>
          <t>CUMPLIMIENTO (SI/NO)</t>
        </is>
      </c>
      <c r="AL31" s="57" t="inlineStr">
        <is>
          <t>INTERPRETACIÓN DE RESULTADO</t>
        </is>
      </c>
      <c r="AM31" s="32" t="inlineStr">
        <is>
          <t>DATOS DEL MES</t>
        </is>
      </c>
      <c r="AN31" s="188" t="n"/>
      <c r="AO31" s="32" t="inlineStr">
        <is>
          <t>JULIO</t>
        </is>
      </c>
      <c r="AP31" s="32" t="inlineStr">
        <is>
          <t>CUMPLIMIENTO (SI/NO)</t>
        </is>
      </c>
      <c r="AQ31" s="32" t="inlineStr">
        <is>
          <t>INTERPRETACIÓN DE RESULTADO</t>
        </is>
      </c>
      <c r="AR31" s="57" t="inlineStr">
        <is>
          <t>DATOS DEL MES</t>
        </is>
      </c>
      <c r="AS31" s="188" t="n"/>
      <c r="AT31" s="57" t="inlineStr">
        <is>
          <t>AGOSTO</t>
        </is>
      </c>
      <c r="AU31" s="57" t="inlineStr">
        <is>
          <t>CUMPLIMIENTO (SI/NO)</t>
        </is>
      </c>
      <c r="AV31" s="57" t="inlineStr">
        <is>
          <t>INTERPRETACIÓN DE RESULTADO</t>
        </is>
      </c>
      <c r="AW31" s="32" t="inlineStr">
        <is>
          <t>DATOS DEL MES</t>
        </is>
      </c>
      <c r="AX31" s="188" t="n"/>
      <c r="AY31" s="32" t="inlineStr">
        <is>
          <t>SEPTIEMBRE</t>
        </is>
      </c>
      <c r="AZ31" s="32" t="inlineStr">
        <is>
          <t>CUMPLIMIENTO (SI/NO)</t>
        </is>
      </c>
      <c r="BA31" s="32" t="inlineStr">
        <is>
          <t>INTERPRETACIÓN DE RESULTADO</t>
        </is>
      </c>
      <c r="BB31" s="57" t="inlineStr">
        <is>
          <t>DATOS DEL MES</t>
        </is>
      </c>
      <c r="BC31" s="188" t="n"/>
      <c r="BD31" s="57" t="inlineStr">
        <is>
          <t>OCTUBRE</t>
        </is>
      </c>
      <c r="BE31" s="57" t="inlineStr">
        <is>
          <t>CUMPLIMIENTO (SI/NO)</t>
        </is>
      </c>
      <c r="BF31" s="57" t="inlineStr">
        <is>
          <t>INTERPRETACIÓN DE RESULTADO</t>
        </is>
      </c>
      <c r="BG31" s="32" t="inlineStr">
        <is>
          <t>DATOS DEL MES</t>
        </is>
      </c>
      <c r="BH31" s="188" t="n"/>
      <c r="BI31" s="32" t="inlineStr">
        <is>
          <t>NOVIEMBRE</t>
        </is>
      </c>
      <c r="BJ31" s="32" t="inlineStr">
        <is>
          <t>CUMPLIMIENTO (SI/NO)</t>
        </is>
      </c>
      <c r="BK31" s="32" t="inlineStr">
        <is>
          <t>INTERPRETACIÓN DE RESULTADO</t>
        </is>
      </c>
      <c r="BL31" s="57" t="inlineStr">
        <is>
          <t>DATOS DEL MES</t>
        </is>
      </c>
      <c r="BM31" s="188" t="n"/>
      <c r="BN31" s="57" t="inlineStr">
        <is>
          <t>DICIEMBRE</t>
        </is>
      </c>
      <c r="BO31" s="57" t="inlineStr">
        <is>
          <t>CUMPLIMIENTO (SI/NO)</t>
        </is>
      </c>
      <c r="BP31" s="57" t="inlineStr">
        <is>
          <t>INTERPRETACIÓN DE RESULTADO</t>
        </is>
      </c>
    </row>
    <row r="32" ht="45" customHeight="1" s="78">
      <c r="A32" s="131" t="inlineStr">
        <is>
          <t>PROPORCIÓN DE ACCIDENTES DE TRABAJO MORTALES</t>
        </is>
      </c>
      <c r="B32" s="131" t="inlineStr">
        <is>
          <t>Número de accidentes de trabajo mortales en el año</t>
        </is>
      </c>
      <c r="C32" s="169" t="n">
        <v>0</v>
      </c>
      <c r="D32" s="131" t="inlineStr">
        <is>
          <t>(# de accidentes de trabajo mortales que se presentaron en el año / Total de accidentes de trabajo que se presentaron en el año ) X 100 %</t>
        </is>
      </c>
      <c r="E32" s="131" t="inlineStr">
        <is>
          <t>Registro de accidentes de trabajo mortales</t>
        </is>
      </c>
      <c r="F32" s="131" t="inlineStr">
        <is>
          <t>ANUAL</t>
        </is>
      </c>
      <c r="G32" s="131" t="inlineStr">
        <is>
          <t>Área SST, COPASST o VIGÍA</t>
        </is>
      </c>
      <c r="H32" s="171" t="inlineStr">
        <is>
          <t>Alta gerencia, COPASST/VIGÍA, CCL, brigadistas, área SST, trabajadores</t>
        </is>
      </c>
      <c r="I32" s="74" t="n"/>
      <c r="J32" s="75" t="n"/>
      <c r="K32" s="164" t="n"/>
      <c r="L32" s="162" t="n"/>
      <c r="M32" s="165" t="n"/>
      <c r="N32" s="74" t="n"/>
      <c r="O32" s="75" t="n"/>
      <c r="P32" s="164" t="n"/>
      <c r="Q32" s="162" t="n"/>
      <c r="R32" s="163" t="n"/>
      <c r="S32" s="74" t="n"/>
      <c r="T32" s="75" t="n"/>
      <c r="U32" s="164" t="n"/>
      <c r="V32" s="162" t="n"/>
      <c r="W32" s="163" t="n"/>
      <c r="X32" s="74" t="n"/>
      <c r="Y32" s="75" t="n"/>
      <c r="Z32" s="164" t="n"/>
      <c r="AA32" s="162" t="n"/>
      <c r="AB32" s="163" t="n"/>
      <c r="AC32" s="74" t="n"/>
      <c r="AD32" s="75" t="n"/>
      <c r="AE32" s="164" t="n"/>
      <c r="AF32" s="162" t="n"/>
      <c r="AG32" s="163" t="n"/>
      <c r="AH32" s="74" t="n"/>
      <c r="AI32" s="75" t="n"/>
      <c r="AJ32" s="164" t="n"/>
      <c r="AK32" s="162" t="n"/>
      <c r="AL32" s="163" t="n"/>
      <c r="AM32" s="74" t="n"/>
      <c r="AN32" s="75" t="n"/>
      <c r="AO32" s="164" t="n"/>
      <c r="AP32" s="162" t="n"/>
      <c r="AQ32" s="163" t="n"/>
      <c r="AR32" s="74" t="n"/>
      <c r="AS32" s="75" t="n"/>
      <c r="AT32" s="164" t="n"/>
      <c r="AU32" s="162" t="n"/>
      <c r="AV32" s="163" t="n"/>
      <c r="AW32" s="74" t="n"/>
      <c r="AX32" s="75" t="n"/>
      <c r="AY32" s="164" t="n"/>
      <c r="AZ32" s="162" t="n"/>
      <c r="BA32" s="163" t="n"/>
      <c r="BB32" s="74" t="n"/>
      <c r="BC32" s="75" t="n"/>
      <c r="BD32" s="164" t="n"/>
      <c r="BE32" s="162" t="n"/>
      <c r="BF32" s="163" t="n"/>
      <c r="BG32" s="74" t="n"/>
      <c r="BH32" s="76" t="n"/>
      <c r="BI32" s="164" t="n"/>
      <c r="BJ32" s="162" t="n"/>
      <c r="BK32" s="163" t="n"/>
      <c r="BL32" s="62" t="inlineStr">
        <is>
          <t># de accidentes de trabajo mortales en el año</t>
        </is>
      </c>
      <c r="BM32" s="61" t="n">
        <v>0</v>
      </c>
      <c r="BN32" s="147" t="n">
        <v>0</v>
      </c>
      <c r="BO32" s="143" t="inlineStr">
        <is>
          <t>SI</t>
        </is>
      </c>
      <c r="BP32" s="144" t="n"/>
    </row>
    <row r="33" ht="32.25" customHeight="1" s="78">
      <c r="A33" s="192" t="n"/>
      <c r="B33" s="192" t="n"/>
      <c r="C33" s="192" t="n"/>
      <c r="D33" s="192" t="n"/>
      <c r="E33" s="192" t="n"/>
      <c r="F33" s="192" t="n"/>
      <c r="G33" s="192" t="n"/>
      <c r="H33" s="192" t="n"/>
      <c r="I33" s="76" t="n"/>
      <c r="J33" s="75" t="n"/>
      <c r="K33" s="192" t="n"/>
      <c r="L33" s="192" t="n"/>
      <c r="M33" s="192" t="n"/>
      <c r="N33" s="76" t="n"/>
      <c r="O33" s="75" t="n"/>
      <c r="P33" s="192" t="n"/>
      <c r="Q33" s="192" t="n"/>
      <c r="R33" s="192" t="n"/>
      <c r="S33" s="76" t="n"/>
      <c r="T33" s="75" t="n"/>
      <c r="U33" s="192" t="n"/>
      <c r="V33" s="192" t="n"/>
      <c r="W33" s="192" t="n"/>
      <c r="X33" s="76" t="n"/>
      <c r="Y33" s="75" t="n"/>
      <c r="Z33" s="192" t="n"/>
      <c r="AA33" s="192" t="n"/>
      <c r="AB33" s="192" t="n"/>
      <c r="AC33" s="76" t="n"/>
      <c r="AD33" s="75" t="n"/>
      <c r="AE33" s="192" t="n"/>
      <c r="AF33" s="192" t="n"/>
      <c r="AG33" s="192" t="n"/>
      <c r="AH33" s="76" t="n"/>
      <c r="AI33" s="75" t="n"/>
      <c r="AJ33" s="192" t="n"/>
      <c r="AK33" s="192" t="n"/>
      <c r="AL33" s="192" t="n"/>
      <c r="AM33" s="76" t="n"/>
      <c r="AN33" s="75" t="n"/>
      <c r="AO33" s="192" t="n"/>
      <c r="AP33" s="192" t="n"/>
      <c r="AQ33" s="192" t="n"/>
      <c r="AR33" s="76" t="n"/>
      <c r="AS33" s="75" t="n"/>
      <c r="AT33" s="192" t="n"/>
      <c r="AU33" s="192" t="n"/>
      <c r="AV33" s="192" t="n"/>
      <c r="AW33" s="76" t="n"/>
      <c r="AX33" s="75" t="n"/>
      <c r="AY33" s="192" t="n"/>
      <c r="AZ33" s="192" t="n"/>
      <c r="BA33" s="192" t="n"/>
      <c r="BB33" s="76" t="n"/>
      <c r="BC33" s="75" t="n"/>
      <c r="BD33" s="192" t="n"/>
      <c r="BE33" s="192" t="n"/>
      <c r="BF33" s="192" t="n"/>
      <c r="BG33" s="76" t="n"/>
      <c r="BH33" s="76" t="n"/>
      <c r="BI33" s="192" t="n"/>
      <c r="BJ33" s="192" t="n"/>
      <c r="BK33" s="192" t="n"/>
      <c r="BL33" s="62" t="inlineStr">
        <is>
          <t># de accidentes en el año</t>
        </is>
      </c>
      <c r="BM33" s="61" t="n">
        <v>0</v>
      </c>
      <c r="BN33" s="192" t="n"/>
      <c r="BO33" s="192" t="n"/>
      <c r="BP33" s="192" t="n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A53" s="132" t="inlineStr">
        <is>
          <t>INDICADORES RESOLUCIÓN 0312/2019 - AÑO 2026</t>
        </is>
      </c>
      <c r="B53" s="185" t="n"/>
      <c r="C53" s="185" t="n"/>
      <c r="D53" s="185" t="n"/>
      <c r="E53" s="185" t="n"/>
      <c r="F53" s="185" t="n"/>
      <c r="G53" s="185" t="n"/>
      <c r="H53" s="186" t="n"/>
      <c r="I53" s="101" t="inlineStr">
        <is>
          <t xml:space="preserve">RESULTADOS </t>
        </is>
      </c>
      <c r="J53" s="194" t="n"/>
      <c r="K53" s="194" t="n"/>
      <c r="L53" s="194" t="n"/>
      <c r="M53" s="194" t="n"/>
      <c r="N53" s="194" t="n"/>
      <c r="O53" s="194" t="n"/>
      <c r="P53" s="194" t="n"/>
      <c r="Q53" s="194" t="n"/>
      <c r="R53" s="194" t="n"/>
      <c r="S53" s="194" t="n"/>
      <c r="T53" s="194" t="n"/>
      <c r="U53" s="194" t="n"/>
      <c r="V53" s="194" t="n"/>
      <c r="W53" s="194" t="n"/>
      <c r="X53" s="194" t="n"/>
      <c r="Y53" s="194" t="n"/>
      <c r="Z53" s="194" t="n"/>
      <c r="AA53" s="194" t="n"/>
      <c r="AB53" s="194" t="n"/>
      <c r="AC53" s="194" t="n"/>
      <c r="AD53" s="194" t="n"/>
      <c r="AE53" s="194" t="n"/>
      <c r="AF53" s="194" t="n"/>
      <c r="AG53" s="194" t="n"/>
      <c r="AH53" s="194" t="n"/>
      <c r="AI53" s="194" t="n"/>
      <c r="AJ53" s="194" t="n"/>
      <c r="AK53" s="194" t="n"/>
      <c r="AL53" s="194" t="n"/>
      <c r="AM53" s="194" t="n"/>
      <c r="AN53" s="194" t="n"/>
      <c r="AO53" s="194" t="n"/>
      <c r="AP53" s="194" t="n"/>
      <c r="AQ53" s="194" t="n"/>
      <c r="AR53" s="194" t="n"/>
      <c r="AS53" s="194" t="n"/>
      <c r="AT53" s="194" t="n"/>
      <c r="AU53" s="194" t="n"/>
      <c r="AV53" s="194" t="n"/>
      <c r="AW53" s="194" t="n"/>
      <c r="AX53" s="194" t="n"/>
      <c r="AY53" s="194" t="n"/>
      <c r="AZ53" s="194" t="n"/>
      <c r="BA53" s="194" t="n"/>
      <c r="BB53" s="194" t="n"/>
      <c r="BC53" s="194" t="n"/>
      <c r="BD53" s="194" t="n"/>
      <c r="BE53" s="194" t="n"/>
      <c r="BF53" s="194" t="n"/>
      <c r="BG53" s="194" t="n"/>
      <c r="BH53" s="194" t="n"/>
      <c r="BI53" s="194" t="n"/>
      <c r="BJ53" s="194" t="n"/>
      <c r="BK53" s="194" t="n"/>
      <c r="BL53" s="194" t="n"/>
      <c r="BM53" s="194" t="n"/>
      <c r="BN53" s="194" t="n"/>
      <c r="BO53" s="194" t="n"/>
      <c r="BP53" s="100" t="n"/>
    </row>
    <row r="54">
      <c r="A54" s="193" t="n"/>
      <c r="B54" s="194" t="n"/>
      <c r="C54" s="194" t="n"/>
      <c r="D54" s="194" t="n"/>
      <c r="E54" s="194" t="n"/>
      <c r="F54" s="194" t="n"/>
      <c r="G54" s="194" t="n"/>
      <c r="H54" s="195" t="n"/>
      <c r="I54" s="70" t="inlineStr">
        <is>
          <t>AÑO: 2026</t>
        </is>
      </c>
      <c r="J54" s="187" t="n"/>
      <c r="K54" s="187" t="n"/>
      <c r="L54" s="187" t="n"/>
      <c r="M54" s="187" t="n"/>
      <c r="N54" s="187" t="n"/>
      <c r="O54" s="187" t="n"/>
      <c r="P54" s="187" t="n"/>
      <c r="Q54" s="187" t="n"/>
      <c r="R54" s="187" t="n"/>
      <c r="S54" s="187" t="n"/>
      <c r="T54" s="187" t="n"/>
      <c r="U54" s="187" t="n"/>
      <c r="V54" s="187" t="n"/>
      <c r="W54" s="187" t="n"/>
      <c r="X54" s="187" t="n"/>
      <c r="Y54" s="187" t="n"/>
      <c r="Z54" s="187" t="n"/>
      <c r="AA54" s="187" t="n"/>
      <c r="AB54" s="187" t="n"/>
      <c r="AC54" s="187" t="n"/>
      <c r="AD54" s="187" t="n"/>
      <c r="AE54" s="187" t="n"/>
      <c r="AF54" s="187" t="n"/>
      <c r="AG54" s="187" t="n"/>
      <c r="AH54" s="187" t="n"/>
      <c r="AI54" s="187" t="n"/>
      <c r="AJ54" s="187" t="n"/>
      <c r="AK54" s="187" t="n"/>
      <c r="AL54" s="187" t="n"/>
      <c r="AM54" s="187" t="n"/>
      <c r="AN54" s="187" t="n"/>
      <c r="AO54" s="187" t="n"/>
      <c r="AP54" s="187" t="n"/>
      <c r="AQ54" s="187" t="n"/>
      <c r="AR54" s="187" t="n"/>
      <c r="AS54" s="187" t="n"/>
      <c r="AT54" s="187" t="n"/>
      <c r="AU54" s="187" t="n"/>
      <c r="AV54" s="187" t="n"/>
      <c r="AW54" s="187" t="n"/>
      <c r="AX54" s="187" t="n"/>
      <c r="AY54" s="187" t="n"/>
      <c r="AZ54" s="187" t="n"/>
      <c r="BA54" s="187" t="n"/>
      <c r="BB54" s="187" t="n"/>
      <c r="BC54" s="187" t="n"/>
      <c r="BD54" s="187" t="n"/>
      <c r="BE54" s="187" t="n"/>
      <c r="BF54" s="187" t="n"/>
      <c r="BG54" s="187" t="n"/>
      <c r="BH54" s="187" t="n"/>
      <c r="BI54" s="187" t="n"/>
      <c r="BJ54" s="187" t="n"/>
      <c r="BK54" s="187" t="n"/>
      <c r="BL54" s="187" t="n"/>
      <c r="BM54" s="187" t="n"/>
      <c r="BN54" s="187" t="n"/>
      <c r="BO54" s="188" t="n"/>
      <c r="BP54" s="70" t="n"/>
    </row>
    <row r="55" ht="22.5" customHeight="1" s="78">
      <c r="A55" s="32" t="inlineStr">
        <is>
          <t>DEFINICION DEL INDICADOR</t>
        </is>
      </c>
      <c r="B55" s="32" t="inlineStr">
        <is>
          <t>INTERPRETACION</t>
        </is>
      </c>
      <c r="C55" s="32" t="inlineStr">
        <is>
          <t>LIMITE DEL INDICADOR</t>
        </is>
      </c>
      <c r="D55" s="32" t="inlineStr">
        <is>
          <t>METODO DE CALCULO Y/O VERIFICACION</t>
        </is>
      </c>
      <c r="E55" s="32" t="inlineStr">
        <is>
          <t>FUENTE DE INFORMACION</t>
        </is>
      </c>
      <c r="F55" s="32" t="inlineStr">
        <is>
          <t>PERIODICIDAD</t>
        </is>
      </c>
      <c r="G55" s="32" t="inlineStr">
        <is>
          <t>RESPONSABLE</t>
        </is>
      </c>
      <c r="H55" s="32" t="inlineStr">
        <is>
          <t>COMUNICARLO A :</t>
        </is>
      </c>
      <c r="I55" s="32" t="inlineStr">
        <is>
          <t>DATOS DEL MES</t>
        </is>
      </c>
      <c r="J55" s="188" t="n"/>
      <c r="K55" s="32" t="inlineStr">
        <is>
          <t>ENERO</t>
        </is>
      </c>
      <c r="L55" s="32" t="inlineStr">
        <is>
          <t>CUMPLIMIENTO (SI/NO)</t>
        </is>
      </c>
      <c r="M55" s="32" t="inlineStr">
        <is>
          <t>INTERPRETACIÓN DE RESULTADO</t>
        </is>
      </c>
      <c r="N55" s="57" t="inlineStr">
        <is>
          <t>DATOS DEL MES</t>
        </is>
      </c>
      <c r="O55" s="188" t="n"/>
      <c r="P55" s="57" t="inlineStr">
        <is>
          <t>FEBRERO</t>
        </is>
      </c>
      <c r="Q55" s="57" t="inlineStr">
        <is>
          <t>CUMPLIMIENTO (SI/NO)</t>
        </is>
      </c>
      <c r="R55" s="57" t="inlineStr">
        <is>
          <t>INTERPRETACIÓN DE RESULTADO</t>
        </is>
      </c>
      <c r="S55" s="32" t="inlineStr">
        <is>
          <t>DATOS DEL MES</t>
        </is>
      </c>
      <c r="T55" s="188" t="n"/>
      <c r="U55" s="32" t="inlineStr">
        <is>
          <t>MARZO</t>
        </is>
      </c>
      <c r="V55" s="32" t="inlineStr">
        <is>
          <t>CUMPLIMIENTO (SI/NO)</t>
        </is>
      </c>
      <c r="W55" s="32" t="inlineStr">
        <is>
          <t>INTERPRETACIÓN DE RESULTADO</t>
        </is>
      </c>
      <c r="X55" s="57" t="inlineStr">
        <is>
          <t>DATOS DEL MES</t>
        </is>
      </c>
      <c r="Y55" s="188" t="n"/>
      <c r="Z55" s="57" t="inlineStr">
        <is>
          <t>ABRIL</t>
        </is>
      </c>
      <c r="AA55" s="57" t="inlineStr">
        <is>
          <t>CUMPLIMIENTO (SI/NO)</t>
        </is>
      </c>
      <c r="AB55" s="57" t="inlineStr">
        <is>
          <t>INTERPRETACIÓN DE RESULTADO</t>
        </is>
      </c>
      <c r="AC55" s="32" t="inlineStr">
        <is>
          <t>DATOS DEL MES</t>
        </is>
      </c>
      <c r="AD55" s="188" t="n"/>
      <c r="AE55" s="32" t="inlineStr">
        <is>
          <t>MAYO</t>
        </is>
      </c>
      <c r="AF55" s="32" t="inlineStr">
        <is>
          <t>CUMPLIMIENTO (SI/NO)</t>
        </is>
      </c>
      <c r="AG55" s="32" t="inlineStr">
        <is>
          <t>INTERPRETACIÓN DE RESULTADO</t>
        </is>
      </c>
      <c r="AH55" s="57" t="inlineStr">
        <is>
          <t>DATOS DEL MES</t>
        </is>
      </c>
      <c r="AI55" s="188" t="n"/>
      <c r="AJ55" s="57" t="inlineStr">
        <is>
          <t>JUNIO</t>
        </is>
      </c>
      <c r="AK55" s="57" t="inlineStr">
        <is>
          <t>CUMPLIMIENTO (SI/NO)</t>
        </is>
      </c>
      <c r="AL55" s="57" t="inlineStr">
        <is>
          <t>INTERPRETACIÓN DE RESULTADO</t>
        </is>
      </c>
      <c r="AM55" s="32" t="inlineStr">
        <is>
          <t>DATOS DEL MES</t>
        </is>
      </c>
      <c r="AN55" s="188" t="n"/>
      <c r="AO55" s="32" t="inlineStr">
        <is>
          <t>JULIO</t>
        </is>
      </c>
      <c r="AP55" s="32" t="inlineStr">
        <is>
          <t>CUMPLIMIENTO (SI/NO)</t>
        </is>
      </c>
      <c r="AQ55" s="32" t="inlineStr">
        <is>
          <t>INTERPRETACIÓN DE RESULTADO</t>
        </is>
      </c>
      <c r="AR55" s="57" t="inlineStr">
        <is>
          <t>DATOS DEL MES</t>
        </is>
      </c>
      <c r="AS55" s="188" t="n"/>
      <c r="AT55" s="57" t="inlineStr">
        <is>
          <t>AGOSTO</t>
        </is>
      </c>
      <c r="AU55" s="57" t="inlineStr">
        <is>
          <t>CUMPLIMIENTO (SI/NO)</t>
        </is>
      </c>
      <c r="AV55" s="57" t="inlineStr">
        <is>
          <t>INTERPRETACIÓN DE RESULTADO</t>
        </is>
      </c>
      <c r="AW55" s="32" t="inlineStr">
        <is>
          <t>DATOS DEL MES</t>
        </is>
      </c>
      <c r="AX55" s="188" t="n"/>
      <c r="AY55" s="32" t="inlineStr">
        <is>
          <t>SEPTIEMBRE</t>
        </is>
      </c>
      <c r="AZ55" s="32" t="inlineStr">
        <is>
          <t>CUMPLIMIENTO (SI/NO)</t>
        </is>
      </c>
      <c r="BA55" s="32" t="inlineStr">
        <is>
          <t>INTERPRETACIÓN DE RESULTADO</t>
        </is>
      </c>
      <c r="BB55" s="57" t="inlineStr">
        <is>
          <t>DATOS DEL MES</t>
        </is>
      </c>
      <c r="BC55" s="188" t="n"/>
      <c r="BD55" s="57" t="inlineStr">
        <is>
          <t>OCTUBRE</t>
        </is>
      </c>
      <c r="BE55" s="57" t="inlineStr">
        <is>
          <t>CUMPLIMIENTO (SI/NO)</t>
        </is>
      </c>
      <c r="BF55" s="57" t="inlineStr">
        <is>
          <t>INTERPRETACIÓN DE RESULTADO</t>
        </is>
      </c>
      <c r="BG55" s="32" t="inlineStr">
        <is>
          <t>DATOS DEL MES</t>
        </is>
      </c>
      <c r="BH55" s="188" t="n"/>
      <c r="BI55" s="32" t="inlineStr">
        <is>
          <t>NOVIEMBRE</t>
        </is>
      </c>
      <c r="BJ55" s="32" t="inlineStr">
        <is>
          <t>CUMPLIMIENTO (SI/NO)</t>
        </is>
      </c>
      <c r="BK55" s="32" t="inlineStr">
        <is>
          <t>INTERPRETACIÓN DE RESULTADO</t>
        </is>
      </c>
      <c r="BL55" s="57" t="inlineStr">
        <is>
          <t>DATOS DEL MES</t>
        </is>
      </c>
      <c r="BM55" s="188" t="n"/>
      <c r="BN55" s="57" t="inlineStr">
        <is>
          <t>DICIEMBRE</t>
        </is>
      </c>
      <c r="BO55" s="57" t="inlineStr">
        <is>
          <t>CUMPLIMIENTO (SI/NO)</t>
        </is>
      </c>
      <c r="BP55" s="57" t="inlineStr">
        <is>
          <t>INTERPRETACIÓN DE RESULTADO</t>
        </is>
      </c>
    </row>
    <row r="56" ht="36" customHeight="1" s="78">
      <c r="A56" s="131" t="inlineStr">
        <is>
          <t>INCIDENCIA DE LA ENFERMEDAD LABORAL</t>
        </is>
      </c>
      <c r="B56" s="131" t="inlineStr">
        <is>
          <t>Número de casos nuevos de enfermedad laboral en una población determinada en un período de tiempo</t>
        </is>
      </c>
      <c r="C56" s="169" t="n">
        <v>0</v>
      </c>
      <c r="D56" s="131" t="inlineStr">
        <is>
          <t>(# de casos nuevos de enfermedad laboral en el periodo “Z” / Promedio de trabajadores en el periodo “Z”) X 100.000</t>
        </is>
      </c>
      <c r="E56" s="131" t="inlineStr">
        <is>
          <t>Reportes de enfermedad laboral, registro de trabajadores en el año</t>
        </is>
      </c>
      <c r="F56" s="131" t="inlineStr">
        <is>
          <t>ANUAL</t>
        </is>
      </c>
      <c r="G56" s="131" t="inlineStr">
        <is>
          <t>Área SST, COPASST o VIGÍA</t>
        </is>
      </c>
      <c r="H56" s="171" t="inlineStr">
        <is>
          <t>Alta gerencia, COPASST/VIGÍA, CCL, brigadistas, área SST, trabajadores</t>
        </is>
      </c>
      <c r="I56" s="74" t="n"/>
      <c r="J56" s="75" t="n"/>
      <c r="K56" s="164" t="n"/>
      <c r="L56" s="162" t="n"/>
      <c r="M56" s="165" t="n"/>
      <c r="N56" s="74" t="n"/>
      <c r="O56" s="75" t="n"/>
      <c r="P56" s="164" t="n"/>
      <c r="Q56" s="162" t="n"/>
      <c r="R56" s="163" t="n"/>
      <c r="S56" s="74" t="n"/>
      <c r="T56" s="75" t="n"/>
      <c r="U56" s="164" t="n"/>
      <c r="V56" s="162" t="n"/>
      <c r="W56" s="163" t="n"/>
      <c r="X56" s="74" t="n"/>
      <c r="Y56" s="75" t="n"/>
      <c r="Z56" s="164" t="n"/>
      <c r="AA56" s="162" t="n"/>
      <c r="AB56" s="163" t="n"/>
      <c r="AC56" s="74" t="n"/>
      <c r="AD56" s="75" t="n"/>
      <c r="AE56" s="164" t="n"/>
      <c r="AF56" s="162" t="n"/>
      <c r="AG56" s="163" t="n"/>
      <c r="AH56" s="74" t="n"/>
      <c r="AI56" s="75" t="n"/>
      <c r="AJ56" s="164" t="n"/>
      <c r="AK56" s="162" t="n"/>
      <c r="AL56" s="163" t="n"/>
      <c r="AM56" s="74" t="n"/>
      <c r="AN56" s="75" t="n"/>
      <c r="AO56" s="164" t="n"/>
      <c r="AP56" s="162" t="n"/>
      <c r="AQ56" s="163" t="n"/>
      <c r="AR56" s="74" t="n"/>
      <c r="AS56" s="75" t="n"/>
      <c r="AT56" s="164" t="n"/>
      <c r="AU56" s="162" t="n"/>
      <c r="AV56" s="163" t="n"/>
      <c r="AW56" s="74" t="n"/>
      <c r="AX56" s="75" t="n"/>
      <c r="AY56" s="164" t="n"/>
      <c r="AZ56" s="162" t="n"/>
      <c r="BA56" s="163" t="n"/>
      <c r="BB56" s="74" t="n"/>
      <c r="BC56" s="75" t="n"/>
      <c r="BD56" s="164" t="n"/>
      <c r="BE56" s="162" t="n"/>
      <c r="BF56" s="163" t="n"/>
      <c r="BG56" s="74" t="n"/>
      <c r="BH56" s="76" t="n"/>
      <c r="BI56" s="164" t="n"/>
      <c r="BJ56" s="162" t="n"/>
      <c r="BK56" s="163" t="n"/>
      <c r="BL56" s="62" t="inlineStr">
        <is>
          <t># de casos nuevos de enfermedad laboral en el año</t>
        </is>
      </c>
      <c r="BM56" s="61" t="n">
        <v>0</v>
      </c>
      <c r="BN56" s="147">
        <f>(BM56/BM57)*100000</f>
        <v/>
      </c>
      <c r="BO56" s="143" t="inlineStr">
        <is>
          <t>SI</t>
        </is>
      </c>
      <c r="BP56" s="144" t="n"/>
    </row>
    <row r="57" ht="32.25" customHeight="1" s="78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76" t="n"/>
      <c r="J57" s="75" t="n"/>
      <c r="K57" s="192" t="n"/>
      <c r="L57" s="192" t="n"/>
      <c r="M57" s="192" t="n"/>
      <c r="N57" s="76" t="n"/>
      <c r="O57" s="75" t="n"/>
      <c r="P57" s="192" t="n"/>
      <c r="Q57" s="192" t="n"/>
      <c r="R57" s="192" t="n"/>
      <c r="S57" s="76" t="n"/>
      <c r="T57" s="75" t="n"/>
      <c r="U57" s="192" t="n"/>
      <c r="V57" s="192" t="n"/>
      <c r="W57" s="192" t="n"/>
      <c r="X57" s="76" t="n"/>
      <c r="Y57" s="75" t="n"/>
      <c r="Z57" s="192" t="n"/>
      <c r="AA57" s="192" t="n"/>
      <c r="AB57" s="192" t="n"/>
      <c r="AC57" s="76" t="n"/>
      <c r="AD57" s="75" t="n"/>
      <c r="AE57" s="192" t="n"/>
      <c r="AF57" s="192" t="n"/>
      <c r="AG57" s="192" t="n"/>
      <c r="AH57" s="76" t="n"/>
      <c r="AI57" s="75" t="n"/>
      <c r="AJ57" s="192" t="n"/>
      <c r="AK57" s="192" t="n"/>
      <c r="AL57" s="192" t="n"/>
      <c r="AM57" s="76" t="n"/>
      <c r="AN57" s="75" t="n"/>
      <c r="AO57" s="192" t="n"/>
      <c r="AP57" s="192" t="n"/>
      <c r="AQ57" s="192" t="n"/>
      <c r="AR57" s="76" t="n"/>
      <c r="AS57" s="75" t="n"/>
      <c r="AT57" s="192" t="n"/>
      <c r="AU57" s="192" t="n"/>
      <c r="AV57" s="192" t="n"/>
      <c r="AW57" s="76" t="n"/>
      <c r="AX57" s="75" t="n"/>
      <c r="AY57" s="192" t="n"/>
      <c r="AZ57" s="192" t="n"/>
      <c r="BA57" s="192" t="n"/>
      <c r="BB57" s="76" t="n"/>
      <c r="BC57" s="75" t="n"/>
      <c r="BD57" s="192" t="n"/>
      <c r="BE57" s="192" t="n"/>
      <c r="BF57" s="192" t="n"/>
      <c r="BG57" s="76" t="n"/>
      <c r="BH57" s="76" t="n"/>
      <c r="BI57" s="192" t="n"/>
      <c r="BJ57" s="192" t="n"/>
      <c r="BK57" s="192" t="n"/>
      <c r="BL57" s="62" t="inlineStr">
        <is>
          <t># promedio de trabajadores en el año</t>
        </is>
      </c>
      <c r="BM57" s="61" t="n">
        <v>6</v>
      </c>
      <c r="BN57" s="192" t="n"/>
      <c r="BO57" s="192" t="n"/>
      <c r="BP57" s="192" t="n"/>
    </row>
    <row r="58"/>
    <row r="59"/>
    <row r="60"/>
    <row r="77">
      <c r="A77" s="132" t="inlineStr">
        <is>
          <t>INDICADORES RESOLUCIÓN 0312/2019 - AÑO 2026</t>
        </is>
      </c>
      <c r="B77" s="185" t="n"/>
      <c r="C77" s="185" t="n"/>
      <c r="D77" s="185" t="n"/>
      <c r="E77" s="185" t="n"/>
      <c r="F77" s="185" t="n"/>
      <c r="G77" s="185" t="n"/>
      <c r="H77" s="186" t="n"/>
      <c r="I77" s="101" t="inlineStr">
        <is>
          <t xml:space="preserve">RESULTADOS </t>
        </is>
      </c>
      <c r="J77" s="194" t="n"/>
      <c r="K77" s="194" t="n"/>
      <c r="L77" s="194" t="n"/>
      <c r="M77" s="194" t="n"/>
      <c r="N77" s="194" t="n"/>
      <c r="O77" s="194" t="n"/>
      <c r="P77" s="194" t="n"/>
      <c r="Q77" s="194" t="n"/>
      <c r="R77" s="194" t="n"/>
      <c r="S77" s="194" t="n"/>
      <c r="T77" s="194" t="n"/>
      <c r="U77" s="194" t="n"/>
      <c r="V77" s="194" t="n"/>
      <c r="W77" s="194" t="n"/>
      <c r="X77" s="194" t="n"/>
      <c r="Y77" s="194" t="n"/>
      <c r="Z77" s="194" t="n"/>
      <c r="AA77" s="194" t="n"/>
      <c r="AB77" s="194" t="n"/>
      <c r="AC77" s="194" t="n"/>
      <c r="AD77" s="194" t="n"/>
      <c r="AE77" s="194" t="n"/>
      <c r="AF77" s="194" t="n"/>
      <c r="AG77" s="194" t="n"/>
      <c r="AH77" s="194" t="n"/>
      <c r="AI77" s="194" t="n"/>
      <c r="AJ77" s="194" t="n"/>
      <c r="AK77" s="194" t="n"/>
      <c r="AL77" s="194" t="n"/>
      <c r="AM77" s="194" t="n"/>
      <c r="AN77" s="194" t="n"/>
      <c r="AO77" s="194" t="n"/>
      <c r="AP77" s="194" t="n"/>
      <c r="AQ77" s="194" t="n"/>
      <c r="AR77" s="194" t="n"/>
      <c r="AS77" s="194" t="n"/>
      <c r="AT77" s="194" t="n"/>
      <c r="AU77" s="194" t="n"/>
      <c r="AV77" s="194" t="n"/>
      <c r="AW77" s="194" t="n"/>
      <c r="AX77" s="194" t="n"/>
      <c r="AY77" s="194" t="n"/>
      <c r="AZ77" s="194" t="n"/>
      <c r="BA77" s="194" t="n"/>
      <c r="BB77" s="194" t="n"/>
      <c r="BC77" s="194" t="n"/>
      <c r="BD77" s="194" t="n"/>
      <c r="BE77" s="194" t="n"/>
      <c r="BF77" s="194" t="n"/>
      <c r="BG77" s="194" t="n"/>
      <c r="BH77" s="194" t="n"/>
      <c r="BI77" s="194" t="n"/>
      <c r="BJ77" s="194" t="n"/>
      <c r="BK77" s="194" t="n"/>
      <c r="BL77" s="194" t="n"/>
      <c r="BM77" s="194" t="n"/>
      <c r="BN77" s="194" t="n"/>
      <c r="BO77" s="194" t="n"/>
      <c r="BP77" s="194" t="n"/>
    </row>
    <row r="78">
      <c r="A78" s="193" t="n"/>
      <c r="B78" s="194" t="n"/>
      <c r="C78" s="194" t="n"/>
      <c r="D78" s="194" t="n"/>
      <c r="E78" s="194" t="n"/>
      <c r="F78" s="194" t="n"/>
      <c r="G78" s="194" t="n"/>
      <c r="H78" s="195" t="n"/>
      <c r="I78" s="70" t="inlineStr">
        <is>
          <t>AÑO: 2026</t>
        </is>
      </c>
      <c r="J78" s="187" t="n"/>
      <c r="K78" s="187" t="n"/>
      <c r="L78" s="187" t="n"/>
      <c r="M78" s="187" t="n"/>
      <c r="N78" s="187" t="n"/>
      <c r="O78" s="187" t="n"/>
      <c r="P78" s="187" t="n"/>
      <c r="Q78" s="187" t="n"/>
      <c r="R78" s="187" t="n"/>
      <c r="S78" s="187" t="n"/>
      <c r="T78" s="187" t="n"/>
      <c r="U78" s="187" t="n"/>
      <c r="V78" s="187" t="n"/>
      <c r="W78" s="187" t="n"/>
      <c r="X78" s="187" t="n"/>
      <c r="Y78" s="187" t="n"/>
      <c r="Z78" s="187" t="n"/>
      <c r="AA78" s="187" t="n"/>
      <c r="AB78" s="187" t="n"/>
      <c r="AC78" s="187" t="n"/>
      <c r="AD78" s="187" t="n"/>
      <c r="AE78" s="187" t="n"/>
      <c r="AF78" s="187" t="n"/>
      <c r="AG78" s="187" t="n"/>
      <c r="AH78" s="187" t="n"/>
      <c r="AI78" s="187" t="n"/>
      <c r="AJ78" s="187" t="n"/>
      <c r="AK78" s="187" t="n"/>
      <c r="AL78" s="187" t="n"/>
      <c r="AM78" s="187" t="n"/>
      <c r="AN78" s="187" t="n"/>
      <c r="AO78" s="187" t="n"/>
      <c r="AP78" s="187" t="n"/>
      <c r="AQ78" s="187" t="n"/>
      <c r="AR78" s="187" t="n"/>
      <c r="AS78" s="187" t="n"/>
      <c r="AT78" s="187" t="n"/>
      <c r="AU78" s="187" t="n"/>
      <c r="AV78" s="187" t="n"/>
      <c r="AW78" s="187" t="n"/>
      <c r="AX78" s="187" t="n"/>
      <c r="AY78" s="187" t="n"/>
      <c r="AZ78" s="187" t="n"/>
      <c r="BA78" s="187" t="n"/>
      <c r="BB78" s="187" t="n"/>
      <c r="BC78" s="187" t="n"/>
      <c r="BD78" s="187" t="n"/>
      <c r="BE78" s="187" t="n"/>
      <c r="BF78" s="187" t="n"/>
      <c r="BG78" s="187" t="n"/>
      <c r="BH78" s="187" t="n"/>
      <c r="BI78" s="187" t="n"/>
      <c r="BJ78" s="187" t="n"/>
      <c r="BK78" s="187" t="n"/>
      <c r="BL78" s="187" t="n"/>
      <c r="BM78" s="187" t="n"/>
      <c r="BN78" s="187" t="n"/>
      <c r="BO78" s="187" t="n"/>
      <c r="BP78" s="188" t="n"/>
    </row>
    <row r="79" ht="22.5" customHeight="1" s="78">
      <c r="A79" s="32" t="inlineStr">
        <is>
          <t>DEFINICION DEL INDICADOR</t>
        </is>
      </c>
      <c r="B79" s="32" t="inlineStr">
        <is>
          <t>INTERPRETACION</t>
        </is>
      </c>
      <c r="C79" s="32" t="inlineStr">
        <is>
          <t>LIMITE DEL INDICADOR</t>
        </is>
      </c>
      <c r="D79" s="32" t="inlineStr">
        <is>
          <t>METODO DE CALCULO Y/O VERIFICACION</t>
        </is>
      </c>
      <c r="E79" s="32" t="inlineStr">
        <is>
          <t>FUENTE DE INFORMACION</t>
        </is>
      </c>
      <c r="F79" s="32" t="inlineStr">
        <is>
          <t>PERIODICIDAD</t>
        </is>
      </c>
      <c r="G79" s="32" t="inlineStr">
        <is>
          <t>RESPONSABLE</t>
        </is>
      </c>
      <c r="H79" s="32" t="inlineStr">
        <is>
          <t>COMUNICARLO A :</t>
        </is>
      </c>
      <c r="I79" s="32" t="inlineStr">
        <is>
          <t>DATOS DEL MES</t>
        </is>
      </c>
      <c r="J79" s="188" t="n"/>
      <c r="K79" s="32" t="inlineStr">
        <is>
          <t>ENERO</t>
        </is>
      </c>
      <c r="L79" s="32" t="inlineStr">
        <is>
          <t>CUMPLIMIENTO (SI/NO)</t>
        </is>
      </c>
      <c r="M79" s="32" t="inlineStr">
        <is>
          <t>INTERPRETACIÓN DE RESULTADO</t>
        </is>
      </c>
      <c r="N79" s="57" t="inlineStr">
        <is>
          <t>DATOS DEL MES</t>
        </is>
      </c>
      <c r="O79" s="188" t="n"/>
      <c r="P79" s="57" t="inlineStr">
        <is>
          <t>FEBRERO</t>
        </is>
      </c>
      <c r="Q79" s="57" t="inlineStr">
        <is>
          <t>CUMPLIMIENTO (SI/NO)</t>
        </is>
      </c>
      <c r="R79" s="57" t="inlineStr">
        <is>
          <t>INTERPRETACIÓN DE RESULTADO</t>
        </is>
      </c>
      <c r="S79" s="32" t="inlineStr">
        <is>
          <t>DATOS DEL MES</t>
        </is>
      </c>
      <c r="T79" s="188" t="n"/>
      <c r="U79" s="32" t="inlineStr">
        <is>
          <t>MARZO</t>
        </is>
      </c>
      <c r="V79" s="32" t="inlineStr">
        <is>
          <t>CUMPLIMIENTO (SI/NO)</t>
        </is>
      </c>
      <c r="W79" s="32" t="inlineStr">
        <is>
          <t>INTERPRETACIÓN DE RESULTADO</t>
        </is>
      </c>
      <c r="X79" s="57" t="inlineStr">
        <is>
          <t>DATOS DEL MES</t>
        </is>
      </c>
      <c r="Y79" s="188" t="n"/>
      <c r="Z79" s="57" t="inlineStr">
        <is>
          <t>ABRIL</t>
        </is>
      </c>
      <c r="AA79" s="57" t="inlineStr">
        <is>
          <t>CUMPLIMIENTO (SI/NO)</t>
        </is>
      </c>
      <c r="AB79" s="57" t="inlineStr">
        <is>
          <t>INTERPRETACIÓN DE RESULTADO</t>
        </is>
      </c>
      <c r="AC79" s="32" t="inlineStr">
        <is>
          <t>DATOS DEL MES</t>
        </is>
      </c>
      <c r="AD79" s="188" t="n"/>
      <c r="AE79" s="32" t="inlineStr">
        <is>
          <t>MAYO</t>
        </is>
      </c>
      <c r="AF79" s="32" t="inlineStr">
        <is>
          <t>CUMPLIMIENTO (SI/NO)</t>
        </is>
      </c>
      <c r="AG79" s="32" t="inlineStr">
        <is>
          <t>INTERPRETACIÓN DE RESULTADO</t>
        </is>
      </c>
      <c r="AH79" s="57" t="inlineStr">
        <is>
          <t>DATOS DEL MES</t>
        </is>
      </c>
      <c r="AI79" s="188" t="n"/>
      <c r="AJ79" s="57" t="inlineStr">
        <is>
          <t>JUNIO</t>
        </is>
      </c>
      <c r="AK79" s="57" t="inlineStr">
        <is>
          <t>CUMPLIMIENTO (SI/NO)</t>
        </is>
      </c>
      <c r="AL79" s="57" t="inlineStr">
        <is>
          <t>INTERPRETACIÓN DE RESULTADO</t>
        </is>
      </c>
      <c r="AM79" s="32" t="inlineStr">
        <is>
          <t>DATOS DEL MES</t>
        </is>
      </c>
      <c r="AN79" s="188" t="n"/>
      <c r="AO79" s="32" t="inlineStr">
        <is>
          <t>JULIO</t>
        </is>
      </c>
      <c r="AP79" s="32" t="inlineStr">
        <is>
          <t>CUMPLIMIENTO (SI/NO)</t>
        </is>
      </c>
      <c r="AQ79" s="32" t="inlineStr">
        <is>
          <t>INTERPRETACIÓN DE RESULTADO</t>
        </is>
      </c>
      <c r="AR79" s="57" t="inlineStr">
        <is>
          <t>DATOS DEL MES</t>
        </is>
      </c>
      <c r="AS79" s="188" t="n"/>
      <c r="AT79" s="57" t="inlineStr">
        <is>
          <t>AGOSTO</t>
        </is>
      </c>
      <c r="AU79" s="57" t="inlineStr">
        <is>
          <t>CUMPLIMIENTO (SI/NO)</t>
        </is>
      </c>
      <c r="AV79" s="57" t="inlineStr">
        <is>
          <t>INTERPRETACIÓN DE RESULTADO</t>
        </is>
      </c>
      <c r="AW79" s="32" t="inlineStr">
        <is>
          <t>DATOS DEL MES</t>
        </is>
      </c>
      <c r="AX79" s="188" t="n"/>
      <c r="AY79" s="32" t="inlineStr">
        <is>
          <t>SEPTIEMBRE</t>
        </is>
      </c>
      <c r="AZ79" s="32" t="inlineStr">
        <is>
          <t>CUMPLIMIENTO (SI/NO)</t>
        </is>
      </c>
      <c r="BA79" s="32" t="inlineStr">
        <is>
          <t>INTERPRETACIÓN DE RESULTADO</t>
        </is>
      </c>
      <c r="BB79" s="57" t="inlineStr">
        <is>
          <t>DATOS DEL MES</t>
        </is>
      </c>
      <c r="BC79" s="188" t="n"/>
      <c r="BD79" s="57" t="inlineStr">
        <is>
          <t>OCTUBRE</t>
        </is>
      </c>
      <c r="BE79" s="57" t="inlineStr">
        <is>
          <t>CUMPLIMIENTO (SI/NO)</t>
        </is>
      </c>
      <c r="BF79" s="57" t="inlineStr">
        <is>
          <t>INTERPRETACIÓN DE RESULTADO</t>
        </is>
      </c>
      <c r="BG79" s="32" t="inlineStr">
        <is>
          <t>DATOS DEL MES</t>
        </is>
      </c>
      <c r="BH79" s="188" t="n"/>
      <c r="BI79" s="32" t="inlineStr">
        <is>
          <t>NOVIEMBRE</t>
        </is>
      </c>
      <c r="BJ79" s="32" t="inlineStr">
        <is>
          <t>CUMPLIMIENTO (SI/NO)</t>
        </is>
      </c>
      <c r="BK79" s="32" t="inlineStr">
        <is>
          <t>INTERPRETACIÓN DE RESULTADO</t>
        </is>
      </c>
      <c r="BL79" s="57" t="inlineStr">
        <is>
          <t>DATOS DEL MES</t>
        </is>
      </c>
      <c r="BM79" s="188" t="n"/>
      <c r="BN79" s="57" t="inlineStr">
        <is>
          <t>DICIEMBRE</t>
        </is>
      </c>
      <c r="BO79" s="57" t="inlineStr">
        <is>
          <t>CUMPLIMIENTO (SI/NO)</t>
        </is>
      </c>
      <c r="BP79" s="57" t="inlineStr">
        <is>
          <t>INTERPRETACIÓN DE RESULTADO</t>
        </is>
      </c>
    </row>
    <row r="80" ht="49.5" customHeight="1" s="78">
      <c r="A80" s="131" t="inlineStr">
        <is>
          <t>PREVALENCIA DE LA ENFERMEDAD LABORAL</t>
        </is>
      </c>
      <c r="B80" s="131" t="inlineStr">
        <is>
          <t>Número de casos de enfermedad laboral presentes en una población en un periodo de tiempo</t>
        </is>
      </c>
      <c r="C80" s="169" t="n">
        <v>0</v>
      </c>
      <c r="D80" s="131" t="inlineStr">
        <is>
          <t>(# de casos nuevos y antiguos de enfermedad laboral en el periodo “Z” / Promedio de trabajadores en el periodo “Z”) X 100.000</t>
        </is>
      </c>
      <c r="E80" s="131" t="inlineStr">
        <is>
          <t>Reportes de enfermedad laboral, registro de trabajadores en el año</t>
        </is>
      </c>
      <c r="F80" s="131" t="inlineStr">
        <is>
          <t>ANUAL</t>
        </is>
      </c>
      <c r="G80" s="131" t="inlineStr">
        <is>
          <t>Área SST, COPASST o VIGÍA</t>
        </is>
      </c>
      <c r="H80" s="161" t="inlineStr">
        <is>
          <t>Alta gerencia, COPASST/VIGÍA, CCL, brigadistas, área SST, trabajadores</t>
        </is>
      </c>
      <c r="I80" s="74" t="n"/>
      <c r="J80" s="75" t="n"/>
      <c r="K80" s="164" t="n"/>
      <c r="L80" s="162" t="n"/>
      <c r="M80" s="165" t="n"/>
      <c r="N80" s="74" t="n"/>
      <c r="O80" s="75" t="n"/>
      <c r="P80" s="164" t="n"/>
      <c r="Q80" s="162" t="n"/>
      <c r="R80" s="163" t="n"/>
      <c r="S80" s="74" t="n"/>
      <c r="T80" s="75" t="n"/>
      <c r="U80" s="164" t="n"/>
      <c r="V80" s="162" t="n"/>
      <c r="W80" s="163" t="n"/>
      <c r="X80" s="74" t="n"/>
      <c r="Y80" s="75" t="n"/>
      <c r="Z80" s="164" t="n"/>
      <c r="AA80" s="162" t="n"/>
      <c r="AB80" s="163" t="n"/>
      <c r="AC80" s="74" t="n"/>
      <c r="AD80" s="75" t="n"/>
      <c r="AE80" s="164" t="n"/>
      <c r="AF80" s="162" t="n"/>
      <c r="AG80" s="163" t="n"/>
      <c r="AH80" s="74" t="n"/>
      <c r="AI80" s="75" t="n"/>
      <c r="AJ80" s="164" t="n"/>
      <c r="AK80" s="162" t="n"/>
      <c r="AL80" s="163" t="n"/>
      <c r="AM80" s="74" t="n"/>
      <c r="AN80" s="75" t="n"/>
      <c r="AO80" s="164" t="n"/>
      <c r="AP80" s="162" t="n"/>
      <c r="AQ80" s="163" t="n"/>
      <c r="AR80" s="74" t="n"/>
      <c r="AS80" s="75" t="n"/>
      <c r="AT80" s="164" t="n"/>
      <c r="AU80" s="162" t="n"/>
      <c r="AV80" s="163" t="n"/>
      <c r="AW80" s="74" t="n"/>
      <c r="AX80" s="75" t="n"/>
      <c r="AY80" s="164" t="n"/>
      <c r="AZ80" s="162" t="n"/>
      <c r="BA80" s="163" t="n"/>
      <c r="BB80" s="74" t="n"/>
      <c r="BC80" s="75" t="n"/>
      <c r="BD80" s="164" t="n"/>
      <c r="BE80" s="162" t="n"/>
      <c r="BF80" s="163" t="n"/>
      <c r="BG80" s="74" t="n"/>
      <c r="BH80" s="76" t="n"/>
      <c r="BI80" s="164" t="n"/>
      <c r="BJ80" s="162" t="n"/>
      <c r="BK80" s="163" t="n"/>
      <c r="BL80" s="62" t="inlineStr">
        <is>
          <t># de casos nuevos Y antiguos de enfermedad laboral en el año</t>
        </is>
      </c>
      <c r="BM80" s="61" t="n">
        <v>0</v>
      </c>
      <c r="BN80" s="147">
        <f>(BM80/BM81)*100000</f>
        <v/>
      </c>
      <c r="BO80" s="143" t="inlineStr">
        <is>
          <t>SI</t>
        </is>
      </c>
      <c r="BP80" s="144" t="n"/>
    </row>
    <row r="81" ht="43.5" customHeight="1" s="78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76" t="n"/>
      <c r="J81" s="75" t="n"/>
      <c r="K81" s="192" t="n"/>
      <c r="L81" s="192" t="n"/>
      <c r="M81" s="192" t="n"/>
      <c r="N81" s="76" t="n"/>
      <c r="O81" s="75" t="n"/>
      <c r="P81" s="192" t="n"/>
      <c r="Q81" s="192" t="n"/>
      <c r="R81" s="192" t="n"/>
      <c r="S81" s="76" t="n"/>
      <c r="T81" s="75" t="n"/>
      <c r="U81" s="192" t="n"/>
      <c r="V81" s="192" t="n"/>
      <c r="W81" s="192" t="n"/>
      <c r="X81" s="76" t="n"/>
      <c r="Y81" s="75" t="n"/>
      <c r="Z81" s="192" t="n"/>
      <c r="AA81" s="192" t="n"/>
      <c r="AB81" s="192" t="n"/>
      <c r="AC81" s="76" t="n"/>
      <c r="AD81" s="75" t="n"/>
      <c r="AE81" s="192" t="n"/>
      <c r="AF81" s="192" t="n"/>
      <c r="AG81" s="192" t="n"/>
      <c r="AH81" s="76" t="n"/>
      <c r="AI81" s="75" t="n"/>
      <c r="AJ81" s="192" t="n"/>
      <c r="AK81" s="192" t="n"/>
      <c r="AL81" s="192" t="n"/>
      <c r="AM81" s="76" t="n"/>
      <c r="AN81" s="75" t="n"/>
      <c r="AO81" s="192" t="n"/>
      <c r="AP81" s="192" t="n"/>
      <c r="AQ81" s="192" t="n"/>
      <c r="AR81" s="76" t="n"/>
      <c r="AS81" s="75" t="n"/>
      <c r="AT81" s="192" t="n"/>
      <c r="AU81" s="192" t="n"/>
      <c r="AV81" s="192" t="n"/>
      <c r="AW81" s="76" t="n"/>
      <c r="AX81" s="75" t="n"/>
      <c r="AY81" s="192" t="n"/>
      <c r="AZ81" s="192" t="n"/>
      <c r="BA81" s="192" t="n"/>
      <c r="BB81" s="76" t="n"/>
      <c r="BC81" s="75" t="n"/>
      <c r="BD81" s="192" t="n"/>
      <c r="BE81" s="192" t="n"/>
      <c r="BF81" s="192" t="n"/>
      <c r="BG81" s="76" t="n"/>
      <c r="BH81" s="76" t="n"/>
      <c r="BI81" s="192" t="n"/>
      <c r="BJ81" s="192" t="n"/>
      <c r="BK81" s="192" t="n"/>
      <c r="BL81" s="62" t="inlineStr">
        <is>
          <t># promedio de trabajadores en el año</t>
        </is>
      </c>
      <c r="BM81" s="61" t="n">
        <v>6</v>
      </c>
      <c r="BN81" s="192" t="n"/>
      <c r="BO81" s="192" t="n"/>
      <c r="BP81" s="192" t="n"/>
    </row>
    <row r="99">
      <c r="A99" s="132" t="inlineStr">
        <is>
          <t>INDICADORES RESOLUCIÓN 0312/2019 - AÑO 2026</t>
        </is>
      </c>
      <c r="B99" s="185" t="n"/>
      <c r="C99" s="185" t="n"/>
      <c r="D99" s="185" t="n"/>
      <c r="E99" s="185" t="n"/>
      <c r="F99" s="185" t="n"/>
      <c r="G99" s="185" t="n"/>
      <c r="H99" s="186" t="n"/>
      <c r="I99" s="101" t="inlineStr">
        <is>
          <t xml:space="preserve">RESULTADOS </t>
        </is>
      </c>
      <c r="J99" s="194" t="n"/>
      <c r="K99" s="194" t="n"/>
      <c r="L99" s="194" t="n"/>
      <c r="M99" s="194" t="n"/>
      <c r="N99" s="194" t="n"/>
      <c r="O99" s="194" t="n"/>
      <c r="P99" s="194" t="n"/>
      <c r="Q99" s="194" t="n"/>
      <c r="R99" s="194" t="n"/>
      <c r="S99" s="194" t="n"/>
      <c r="T99" s="194" t="n"/>
      <c r="U99" s="194" t="n"/>
      <c r="V99" s="194" t="n"/>
      <c r="W99" s="194" t="n"/>
      <c r="X99" s="194" t="n"/>
      <c r="Y99" s="194" t="n"/>
      <c r="Z99" s="194" t="n"/>
      <c r="AA99" s="194" t="n"/>
      <c r="AB99" s="194" t="n"/>
      <c r="AC99" s="194" t="n"/>
      <c r="AD99" s="194" t="n"/>
      <c r="AE99" s="194" t="n"/>
      <c r="AF99" s="194" t="n"/>
      <c r="AG99" s="194" t="n"/>
      <c r="AH99" s="194" t="n"/>
      <c r="AI99" s="194" t="n"/>
      <c r="AJ99" s="194" t="n"/>
      <c r="AK99" s="194" t="n"/>
      <c r="AL99" s="194" t="n"/>
      <c r="AM99" s="194" t="n"/>
      <c r="AN99" s="194" t="n"/>
      <c r="AO99" s="194" t="n"/>
      <c r="AP99" s="194" t="n"/>
      <c r="AQ99" s="194" t="n"/>
      <c r="AR99" s="194" t="n"/>
      <c r="AS99" s="194" t="n"/>
      <c r="AT99" s="194" t="n"/>
      <c r="AU99" s="194" t="n"/>
      <c r="AV99" s="194" t="n"/>
      <c r="AW99" s="194" t="n"/>
      <c r="AX99" s="194" t="n"/>
      <c r="AY99" s="194" t="n"/>
      <c r="AZ99" s="194" t="n"/>
      <c r="BA99" s="194" t="n"/>
      <c r="BB99" s="194" t="n"/>
      <c r="BC99" s="194" t="n"/>
      <c r="BD99" s="194" t="n"/>
      <c r="BE99" s="194" t="n"/>
      <c r="BF99" s="194" t="n"/>
      <c r="BG99" s="194" t="n"/>
      <c r="BH99" s="194" t="n"/>
      <c r="BI99" s="194" t="n"/>
      <c r="BJ99" s="194" t="n"/>
      <c r="BK99" s="194" t="n"/>
      <c r="BL99" s="194" t="n"/>
      <c r="BM99" s="194" t="n"/>
      <c r="BN99" s="194" t="n"/>
      <c r="BO99" s="194" t="n"/>
      <c r="BP99" s="100" t="n"/>
    </row>
    <row r="100">
      <c r="A100" s="193" t="n"/>
      <c r="B100" s="194" t="n"/>
      <c r="C100" s="194" t="n"/>
      <c r="D100" s="194" t="n"/>
      <c r="E100" s="194" t="n"/>
      <c r="F100" s="194" t="n"/>
      <c r="G100" s="194" t="n"/>
      <c r="H100" s="195" t="n"/>
      <c r="I100" s="70" t="inlineStr">
        <is>
          <t>AÑO: 2026</t>
        </is>
      </c>
      <c r="J100" s="187" t="n"/>
      <c r="K100" s="187" t="n"/>
      <c r="L100" s="187" t="n"/>
      <c r="M100" s="187" t="n"/>
      <c r="N100" s="187" t="n"/>
      <c r="O100" s="187" t="n"/>
      <c r="P100" s="187" t="n"/>
      <c r="Q100" s="187" t="n"/>
      <c r="R100" s="187" t="n"/>
      <c r="S100" s="187" t="n"/>
      <c r="T100" s="187" t="n"/>
      <c r="U100" s="187" t="n"/>
      <c r="V100" s="187" t="n"/>
      <c r="W100" s="187" t="n"/>
      <c r="X100" s="187" t="n"/>
      <c r="Y100" s="187" t="n"/>
      <c r="Z100" s="187" t="n"/>
      <c r="AA100" s="187" t="n"/>
      <c r="AB100" s="187" t="n"/>
      <c r="AC100" s="187" t="n"/>
      <c r="AD100" s="187" t="n"/>
      <c r="AE100" s="187" t="n"/>
      <c r="AF100" s="187" t="n"/>
      <c r="AG100" s="187" t="n"/>
      <c r="AH100" s="187" t="n"/>
      <c r="AI100" s="187" t="n"/>
      <c r="AJ100" s="187" t="n"/>
      <c r="AK100" s="187" t="n"/>
      <c r="AL100" s="187" t="n"/>
      <c r="AM100" s="187" t="n"/>
      <c r="AN100" s="187" t="n"/>
      <c r="AO100" s="187" t="n"/>
      <c r="AP100" s="187" t="n"/>
      <c r="AQ100" s="187" t="n"/>
      <c r="AR100" s="187" t="n"/>
      <c r="AS100" s="187" t="n"/>
      <c r="AT100" s="187" t="n"/>
      <c r="AU100" s="187" t="n"/>
      <c r="AV100" s="187" t="n"/>
      <c r="AW100" s="187" t="n"/>
      <c r="AX100" s="187" t="n"/>
      <c r="AY100" s="187" t="n"/>
      <c r="AZ100" s="187" t="n"/>
      <c r="BA100" s="187" t="n"/>
      <c r="BB100" s="187" t="n"/>
      <c r="BC100" s="187" t="n"/>
      <c r="BD100" s="187" t="n"/>
      <c r="BE100" s="187" t="n"/>
      <c r="BF100" s="187" t="n"/>
      <c r="BG100" s="187" t="n"/>
      <c r="BH100" s="187" t="n"/>
      <c r="BI100" s="187" t="n"/>
      <c r="BJ100" s="187" t="n"/>
      <c r="BK100" s="187" t="n"/>
      <c r="BL100" s="187" t="n"/>
      <c r="BM100" s="187" t="n"/>
      <c r="BN100" s="187" t="n"/>
      <c r="BO100" s="188" t="n"/>
      <c r="BP100" s="70" t="n"/>
    </row>
    <row r="101" ht="22.5" customHeight="1" s="78">
      <c r="A101" s="32" t="inlineStr">
        <is>
          <t>DEFINICION DEL INDICADOR</t>
        </is>
      </c>
      <c r="B101" s="32" t="inlineStr">
        <is>
          <t>INTERPRETACION</t>
        </is>
      </c>
      <c r="C101" s="32" t="inlineStr">
        <is>
          <t>LIMITE DEL INDICADOR</t>
        </is>
      </c>
      <c r="D101" s="32" t="inlineStr">
        <is>
          <t>METODO DE CALCULO Y/O VERIFICACION</t>
        </is>
      </c>
      <c r="E101" s="32" t="inlineStr">
        <is>
          <t>FUENTE DE INFORMACION</t>
        </is>
      </c>
      <c r="F101" s="32" t="inlineStr">
        <is>
          <t>PERIODICIDAD</t>
        </is>
      </c>
      <c r="G101" s="32" t="inlineStr">
        <is>
          <t>RESPONSABLE</t>
        </is>
      </c>
      <c r="H101" s="32" t="inlineStr">
        <is>
          <t>COMUNICARLO A :</t>
        </is>
      </c>
      <c r="I101" s="32" t="inlineStr">
        <is>
          <t>DATOS DEL MES</t>
        </is>
      </c>
      <c r="J101" s="188" t="n"/>
      <c r="K101" s="32" t="inlineStr">
        <is>
          <t>ENERO</t>
        </is>
      </c>
      <c r="L101" s="32" t="inlineStr">
        <is>
          <t>CUMPLIMIENTO (SI/NO)</t>
        </is>
      </c>
      <c r="M101" s="32" t="inlineStr">
        <is>
          <t>INTERPRETACIÓN DE RESULTADO</t>
        </is>
      </c>
      <c r="N101" s="57" t="inlineStr">
        <is>
          <t>DATOS DEL MES</t>
        </is>
      </c>
      <c r="O101" s="188" t="n"/>
      <c r="P101" s="57" t="inlineStr">
        <is>
          <t>FEBRERO</t>
        </is>
      </c>
      <c r="Q101" s="57" t="inlineStr">
        <is>
          <t>CUMPLIMIENTO (SI/NO)</t>
        </is>
      </c>
      <c r="R101" s="57" t="inlineStr">
        <is>
          <t>INTERPRETACIÓN DE RESULTADO</t>
        </is>
      </c>
      <c r="S101" s="32" t="inlineStr">
        <is>
          <t>DATOS DEL MES</t>
        </is>
      </c>
      <c r="T101" s="188" t="n"/>
      <c r="U101" s="32" t="inlineStr">
        <is>
          <t>MARZO</t>
        </is>
      </c>
      <c r="V101" s="32" t="inlineStr">
        <is>
          <t>CUMPLIMIENTO (SI/NO)</t>
        </is>
      </c>
      <c r="W101" s="32" t="inlineStr">
        <is>
          <t>INTERPRETACIÓN DE RESULTADO</t>
        </is>
      </c>
      <c r="X101" s="57" t="inlineStr">
        <is>
          <t>DATOS DEL MES</t>
        </is>
      </c>
      <c r="Y101" s="188" t="n"/>
      <c r="Z101" s="57" t="inlineStr">
        <is>
          <t>ABRIL</t>
        </is>
      </c>
      <c r="AA101" s="57" t="inlineStr">
        <is>
          <t>CUMPLIMIENTO (SI/NO)</t>
        </is>
      </c>
      <c r="AB101" s="57" t="inlineStr">
        <is>
          <t>INTERPRETACIÓN DE RESULTADO</t>
        </is>
      </c>
      <c r="AC101" s="32" t="inlineStr">
        <is>
          <t>DATOS DEL MES</t>
        </is>
      </c>
      <c r="AD101" s="188" t="n"/>
      <c r="AE101" s="32" t="inlineStr">
        <is>
          <t>MAYO</t>
        </is>
      </c>
      <c r="AF101" s="32" t="inlineStr">
        <is>
          <t>CUMPLIMIENTO (SI/NO)</t>
        </is>
      </c>
      <c r="AG101" s="32" t="inlineStr">
        <is>
          <t>INTERPRETACIÓN DE RESULTADO</t>
        </is>
      </c>
      <c r="AH101" s="57" t="inlineStr">
        <is>
          <t>DATOS DEL MES</t>
        </is>
      </c>
      <c r="AI101" s="188" t="n"/>
      <c r="AJ101" s="57" t="inlineStr">
        <is>
          <t>JUNIO</t>
        </is>
      </c>
      <c r="AK101" s="57" t="inlineStr">
        <is>
          <t>CUMPLIMIENTO (SI/NO)</t>
        </is>
      </c>
      <c r="AL101" s="57" t="inlineStr">
        <is>
          <t>INTERPRETACIÓN DE RESULTADO</t>
        </is>
      </c>
      <c r="AM101" s="32" t="inlineStr">
        <is>
          <t>DATOS DEL MES</t>
        </is>
      </c>
      <c r="AN101" s="188" t="n"/>
      <c r="AO101" s="32" t="inlineStr">
        <is>
          <t>JULIO</t>
        </is>
      </c>
      <c r="AP101" s="32" t="inlineStr">
        <is>
          <t>CUMPLIMIENTO (SI/NO)</t>
        </is>
      </c>
      <c r="AQ101" s="32" t="inlineStr">
        <is>
          <t>INTERPRETACIÓN DE RESULTADO</t>
        </is>
      </c>
      <c r="AR101" s="57" t="inlineStr">
        <is>
          <t>DATOS DEL MES</t>
        </is>
      </c>
      <c r="AS101" s="188" t="n"/>
      <c r="AT101" s="57" t="inlineStr">
        <is>
          <t>AGOSTO</t>
        </is>
      </c>
      <c r="AU101" s="57" t="inlineStr">
        <is>
          <t>CUMPLIMIENTO (SI/NO)</t>
        </is>
      </c>
      <c r="AV101" s="57" t="inlineStr">
        <is>
          <t>INTERPRETACIÓN DE RESULTADO</t>
        </is>
      </c>
      <c r="AW101" s="32" t="inlineStr">
        <is>
          <t>DATOS DEL MES</t>
        </is>
      </c>
      <c r="AX101" s="188" t="n"/>
      <c r="AY101" s="32" t="inlineStr">
        <is>
          <t>SEPTIEMBRE</t>
        </is>
      </c>
      <c r="AZ101" s="32" t="inlineStr">
        <is>
          <t>CUMPLIMIENTO (SI/NO)</t>
        </is>
      </c>
      <c r="BA101" s="32" t="inlineStr">
        <is>
          <t>INTERPRETACIÓN DE RESULTADO</t>
        </is>
      </c>
      <c r="BB101" s="57" t="inlineStr">
        <is>
          <t>DATOS DEL MES</t>
        </is>
      </c>
      <c r="BC101" s="188" t="n"/>
      <c r="BD101" s="57" t="inlineStr">
        <is>
          <t>OCTUBRE</t>
        </is>
      </c>
      <c r="BE101" s="57" t="inlineStr">
        <is>
          <t>CUMPLIMIENTO (SI/NO)</t>
        </is>
      </c>
      <c r="BF101" s="57" t="inlineStr">
        <is>
          <t>INTERPRETACIÓN DE RESULTADO</t>
        </is>
      </c>
      <c r="BG101" s="32" t="inlineStr">
        <is>
          <t>DATOS DEL MES</t>
        </is>
      </c>
      <c r="BH101" s="188" t="n"/>
      <c r="BI101" s="32" t="inlineStr">
        <is>
          <t>NOVIEMBRE</t>
        </is>
      </c>
      <c r="BJ101" s="32" t="inlineStr">
        <is>
          <t>CUMPLIMIENTO (SI/NO)</t>
        </is>
      </c>
      <c r="BK101" s="32" t="inlineStr">
        <is>
          <t>INTERPRETACIÓN DE RESULTADO</t>
        </is>
      </c>
      <c r="BL101" s="57" t="inlineStr">
        <is>
          <t>DATOS DEL MES</t>
        </is>
      </c>
      <c r="BM101" s="188" t="n"/>
      <c r="BN101" s="57" t="inlineStr">
        <is>
          <t>DICIEMBRE</t>
        </is>
      </c>
      <c r="BO101" s="57" t="inlineStr">
        <is>
          <t>CUMPLIMIENTO (SI/NO)</t>
        </is>
      </c>
      <c r="BP101" s="57" t="inlineStr">
        <is>
          <t>INTERPRETACIÓN DE RESULTADO</t>
        </is>
      </c>
    </row>
    <row r="102" ht="25.5" customHeight="1" s="78">
      <c r="A102" s="131" t="inlineStr">
        <is>
          <t>AUSENTISMO POR CAUSA MÉDICA</t>
        </is>
      </c>
      <c r="B102" s="131" t="inlineStr">
        <is>
          <t>No asistencia al trabajo por incapacidad médica</t>
        </is>
      </c>
      <c r="C102" s="169" t="n">
        <v>0.3</v>
      </c>
      <c r="D102" s="131" t="inlineStr">
        <is>
          <t>(# de días de ausencia por incapacidad laboral o común en el mes / # de días de trabajo programados en el mes ) X 100 %</t>
        </is>
      </c>
      <c r="E102" s="131" t="inlineStr">
        <is>
          <t>Registro de incapacidades laborales y comunes</t>
        </is>
      </c>
      <c r="F102" s="131" t="inlineStr">
        <is>
          <t>MENSUAL</t>
        </is>
      </c>
      <c r="G102" s="131" t="inlineStr">
        <is>
          <t>Área SST, COPASST o VIGÍA</t>
        </is>
      </c>
      <c r="H102" s="161" t="inlineStr">
        <is>
          <t>Alta gerencia, COPASST/VIGÍA, CCL, brigadistas, área SST, trabajadores</t>
        </is>
      </c>
      <c r="I102" s="77" t="inlineStr">
        <is>
          <t># de días de ausencia por AT</t>
        </is>
      </c>
      <c r="J102" s="61" t="n">
        <v>0</v>
      </c>
      <c r="K102" s="145">
        <f>(J102+J103+J104+J105)/(J106+J107)*100%</f>
        <v/>
      </c>
      <c r="L102" s="143" t="inlineStr">
        <is>
          <t>SI</t>
        </is>
      </c>
      <c r="M102" s="144" t="n"/>
      <c r="N102" s="77" t="inlineStr">
        <is>
          <t># de días de ausencia por AT</t>
        </is>
      </c>
      <c r="O102" s="61" t="n">
        <v>7</v>
      </c>
      <c r="P102" s="145">
        <f>(O102+O103+O104+O105)/(O106+O107)*100%</f>
        <v/>
      </c>
      <c r="Q102" s="143" t="inlineStr">
        <is>
          <t>NO</t>
        </is>
      </c>
      <c r="R102" s="144" t="inlineStr">
        <is>
          <t>En el mes se perdio un 24% de dias programados de trabajo por accidente de trabajo, incapacidad medica.</t>
        </is>
      </c>
      <c r="S102" s="77" t="inlineStr">
        <is>
          <t># de días de ausencia por AT</t>
        </is>
      </c>
      <c r="T102" s="61" t="n">
        <v>0</v>
      </c>
      <c r="U102" s="145">
        <f>(T102+T103+T104+T105)/(T106+T107)*100%</f>
        <v/>
      </c>
      <c r="V102" s="143" t="inlineStr">
        <is>
          <t>SI</t>
        </is>
      </c>
      <c r="W102" s="144" t="n"/>
      <c r="X102" s="77" t="inlineStr">
        <is>
          <t># de días de ausencia por AT</t>
        </is>
      </c>
      <c r="Y102" s="61" t="n">
        <v>0</v>
      </c>
      <c r="Z102" s="145">
        <f>(Y102+Y103+Y104+Y105)/(Y106+Y107)*100%</f>
        <v/>
      </c>
      <c r="AA102" s="143" t="inlineStr">
        <is>
          <t>SI</t>
        </is>
      </c>
      <c r="AB102" s="144" t="n"/>
      <c r="AC102" s="77" t="inlineStr">
        <is>
          <t># de días de ausencia por AT</t>
        </is>
      </c>
      <c r="AD102" s="61" t="n">
        <v>0</v>
      </c>
      <c r="AE102" s="145">
        <f>(AD102+AD103+AD104+AD105)/(AD106+AD107)*100%</f>
        <v/>
      </c>
      <c r="AF102" s="143" t="inlineStr">
        <is>
          <t>SI</t>
        </is>
      </c>
      <c r="AG102" s="144" t="n"/>
      <c r="AH102" s="77" t="inlineStr">
        <is>
          <t># de días de ausencia por AT</t>
        </is>
      </c>
      <c r="AI102" s="61" t="n">
        <v>0</v>
      </c>
      <c r="AJ102" s="147">
        <f>(AI102+AI103+AI104+AI105)/(AI106+AI107)*100%</f>
        <v/>
      </c>
      <c r="AK102" s="143" t="inlineStr">
        <is>
          <t>SI</t>
        </is>
      </c>
      <c r="AL102" s="144" t="n"/>
      <c r="AM102" s="77" t="inlineStr">
        <is>
          <t># de días de ausencia por AT</t>
        </is>
      </c>
      <c r="AN102" s="61" t="n">
        <v>0</v>
      </c>
      <c r="AO102" s="145">
        <f>(AN102+AN103+AN104+AN105)/(AN106+AN107)*100%</f>
        <v/>
      </c>
      <c r="AP102" s="143" t="inlineStr">
        <is>
          <t>SI</t>
        </is>
      </c>
      <c r="AQ102" s="144" t="n"/>
      <c r="AR102" s="77" t="inlineStr">
        <is>
          <t># de días de ausencia por AT</t>
        </is>
      </c>
      <c r="AS102" s="61" t="n">
        <v>0</v>
      </c>
      <c r="AT102" s="145">
        <f>(AS102+AS103+AS104+AS105)/(AS106+AS107)*100%</f>
        <v/>
      </c>
      <c r="AU102" s="143" t="inlineStr">
        <is>
          <t>SI</t>
        </is>
      </c>
      <c r="AV102" s="144" t="n"/>
      <c r="AW102" s="77" t="inlineStr">
        <is>
          <t># de días de ausencia por AT</t>
        </is>
      </c>
      <c r="AX102" s="61" t="n">
        <v>0</v>
      </c>
      <c r="AY102" s="145">
        <f>(AX102+AX103+AX104+AX105)/(AX106+AX107)*100%</f>
        <v/>
      </c>
      <c r="AZ102" s="143" t="inlineStr">
        <is>
          <t>SI</t>
        </is>
      </c>
      <c r="BA102" s="144" t="n"/>
      <c r="BB102" s="77" t="inlineStr">
        <is>
          <t># de días de ausencia por AT</t>
        </is>
      </c>
      <c r="BC102" s="61" t="n">
        <v>0</v>
      </c>
      <c r="BD102" s="145">
        <f>(BC102+BC103+BC104+BC105)/(BC106+BC107)*100%</f>
        <v/>
      </c>
      <c r="BE102" s="143" t="inlineStr">
        <is>
          <t>SI</t>
        </is>
      </c>
      <c r="BF102" s="144" t="n"/>
      <c r="BG102" s="77" t="inlineStr">
        <is>
          <t># de días de ausencia por AT</t>
        </is>
      </c>
      <c r="BH102" s="61" t="n">
        <v>60</v>
      </c>
      <c r="BI102" s="159">
        <f>(BH102+BH103+BH104+BH105)/(BH106+BH107)*100%</f>
        <v/>
      </c>
      <c r="BJ102" s="143" t="inlineStr">
        <is>
          <t>NO</t>
        </is>
      </c>
      <c r="BK102" s="144" t="inlineStr">
        <is>
          <t>En el mes se perdio un 1,46% de dias programados de trabajo por accidente de trabajo, incapacidad medica.</t>
        </is>
      </c>
      <c r="BL102" s="77" t="inlineStr">
        <is>
          <t># de días de ausencia por AT</t>
        </is>
      </c>
      <c r="BM102" s="61" t="n">
        <v>0</v>
      </c>
      <c r="BN102" s="145">
        <f>(BM102+BM103+BM104+BM105)/(BM106+BM107)*100%</f>
        <v/>
      </c>
      <c r="BO102" s="143" t="inlineStr">
        <is>
          <t>SI</t>
        </is>
      </c>
      <c r="BP102" s="144" t="n"/>
    </row>
    <row r="103" ht="26.25" customHeight="1" s="78">
      <c r="A103" s="189" t="n"/>
      <c r="B103" s="189" t="n"/>
      <c r="C103" s="189" t="n"/>
      <c r="D103" s="189" t="n"/>
      <c r="E103" s="189" t="n"/>
      <c r="F103" s="189" t="n"/>
      <c r="G103" s="189" t="n"/>
      <c r="H103" s="189" t="n"/>
      <c r="I103" s="77" t="inlineStr">
        <is>
          <t># de días de ausencia por EL</t>
        </is>
      </c>
      <c r="J103" s="61" t="n">
        <v>0</v>
      </c>
      <c r="K103" s="189" t="n"/>
      <c r="L103" s="189" t="n"/>
      <c r="M103" s="189" t="n"/>
      <c r="N103" s="77" t="inlineStr">
        <is>
          <t># de días de ausencia por EL</t>
        </is>
      </c>
      <c r="O103" s="61" t="n">
        <v>0</v>
      </c>
      <c r="P103" s="189" t="n"/>
      <c r="Q103" s="189" t="n"/>
      <c r="R103" s="189" t="n"/>
      <c r="S103" s="77" t="inlineStr">
        <is>
          <t># de días de ausencia por EL</t>
        </is>
      </c>
      <c r="T103" s="61" t="n">
        <v>0</v>
      </c>
      <c r="U103" s="189" t="n"/>
      <c r="V103" s="189" t="n"/>
      <c r="W103" s="189" t="n"/>
      <c r="X103" s="77" t="inlineStr">
        <is>
          <t># de días de ausencia por EL</t>
        </is>
      </c>
      <c r="Y103" s="61" t="n">
        <v>0</v>
      </c>
      <c r="Z103" s="189" t="n"/>
      <c r="AA103" s="189" t="n"/>
      <c r="AB103" s="189" t="n"/>
      <c r="AC103" s="77" t="inlineStr">
        <is>
          <t># de días de ausencia por EL</t>
        </is>
      </c>
      <c r="AD103" s="61" t="n">
        <v>0</v>
      </c>
      <c r="AE103" s="189" t="n"/>
      <c r="AF103" s="189" t="n"/>
      <c r="AG103" s="189" t="n"/>
      <c r="AH103" s="77" t="inlineStr">
        <is>
          <t># de días de ausencia por EL</t>
        </is>
      </c>
      <c r="AI103" s="61" t="n">
        <v>0</v>
      </c>
      <c r="AJ103" s="189" t="n"/>
      <c r="AK103" s="189" t="n"/>
      <c r="AL103" s="189" t="n"/>
      <c r="AM103" s="77" t="inlineStr">
        <is>
          <t># de días de ausencia por EL</t>
        </is>
      </c>
      <c r="AN103" s="61" t="n">
        <v>0</v>
      </c>
      <c r="AO103" s="189" t="n"/>
      <c r="AP103" s="189" t="n"/>
      <c r="AQ103" s="189" t="n"/>
      <c r="AR103" s="77" t="inlineStr">
        <is>
          <t># de días de ausencia por EL</t>
        </is>
      </c>
      <c r="AS103" s="61" t="n">
        <v>0</v>
      </c>
      <c r="AT103" s="189" t="n"/>
      <c r="AU103" s="189" t="n"/>
      <c r="AV103" s="189" t="n"/>
      <c r="AW103" s="77" t="inlineStr">
        <is>
          <t># de días de ausencia por EL</t>
        </is>
      </c>
      <c r="AX103" s="61" t="n">
        <v>0</v>
      </c>
      <c r="AY103" s="189" t="n"/>
      <c r="AZ103" s="189" t="n"/>
      <c r="BA103" s="189" t="n"/>
      <c r="BB103" s="77" t="inlineStr">
        <is>
          <t># de días de ausencia por EL</t>
        </is>
      </c>
      <c r="BC103" s="61" t="n">
        <v>0</v>
      </c>
      <c r="BD103" s="189" t="n"/>
      <c r="BE103" s="189" t="n"/>
      <c r="BF103" s="189" t="n"/>
      <c r="BG103" s="77" t="inlineStr">
        <is>
          <t># de días de ausencia por EL</t>
        </is>
      </c>
      <c r="BH103" s="61" t="n">
        <v>0</v>
      </c>
      <c r="BI103" s="189" t="n"/>
      <c r="BJ103" s="189" t="n"/>
      <c r="BK103" s="189" t="n"/>
      <c r="BL103" s="77" t="inlineStr">
        <is>
          <t># de días de ausencia por EL</t>
        </is>
      </c>
      <c r="BM103" s="61" t="n">
        <v>0</v>
      </c>
      <c r="BN103" s="189" t="n"/>
      <c r="BO103" s="189" t="n"/>
      <c r="BP103" s="189" t="n"/>
    </row>
    <row r="104" ht="25.5" customHeight="1" s="78">
      <c r="A104" s="189" t="n"/>
      <c r="B104" s="189" t="n"/>
      <c r="C104" s="189" t="n"/>
      <c r="D104" s="189" t="n"/>
      <c r="E104" s="189" t="n"/>
      <c r="F104" s="189" t="n"/>
      <c r="G104" s="189" t="n"/>
      <c r="H104" s="189" t="n"/>
      <c r="I104" s="77" t="inlineStr">
        <is>
          <t># de días de ausencia por AC</t>
        </is>
      </c>
      <c r="J104" s="61" t="n">
        <v>0</v>
      </c>
      <c r="K104" s="189" t="n"/>
      <c r="L104" s="189" t="n"/>
      <c r="M104" s="189" t="n"/>
      <c r="N104" s="77" t="inlineStr">
        <is>
          <t># de días de ausencia por AC</t>
        </is>
      </c>
      <c r="O104" s="61" t="n">
        <v>0</v>
      </c>
      <c r="P104" s="189" t="n"/>
      <c r="Q104" s="189" t="n"/>
      <c r="R104" s="189" t="n"/>
      <c r="S104" s="77" t="inlineStr">
        <is>
          <t># de días de ausencia por AC</t>
        </is>
      </c>
      <c r="T104" s="61" t="n">
        <v>0</v>
      </c>
      <c r="U104" s="189" t="n"/>
      <c r="V104" s="189" t="n"/>
      <c r="W104" s="189" t="n"/>
      <c r="X104" s="77" t="inlineStr">
        <is>
          <t># de días de ausencia por AC</t>
        </is>
      </c>
      <c r="Y104" s="61" t="n">
        <v>0</v>
      </c>
      <c r="Z104" s="189" t="n"/>
      <c r="AA104" s="189" t="n"/>
      <c r="AB104" s="189" t="n"/>
      <c r="AC104" s="77" t="inlineStr">
        <is>
          <t># de días de ausencia por AC</t>
        </is>
      </c>
      <c r="AD104" s="61" t="n">
        <v>0</v>
      </c>
      <c r="AE104" s="189" t="n"/>
      <c r="AF104" s="189" t="n"/>
      <c r="AG104" s="189" t="n"/>
      <c r="AH104" s="77" t="inlineStr">
        <is>
          <t># de días de ausencia por AC</t>
        </is>
      </c>
      <c r="AI104" s="61" t="n">
        <v>0</v>
      </c>
      <c r="AJ104" s="189" t="n"/>
      <c r="AK104" s="189" t="n"/>
      <c r="AL104" s="189" t="n"/>
      <c r="AM104" s="77" t="inlineStr">
        <is>
          <t># de días de ausencia por AC</t>
        </is>
      </c>
      <c r="AN104" s="61" t="n">
        <v>0</v>
      </c>
      <c r="AO104" s="189" t="n"/>
      <c r="AP104" s="189" t="n"/>
      <c r="AQ104" s="189" t="n"/>
      <c r="AR104" s="77" t="inlineStr">
        <is>
          <t># de días de ausencia por AC</t>
        </is>
      </c>
      <c r="AS104" s="61" t="n">
        <v>0</v>
      </c>
      <c r="AT104" s="189" t="n"/>
      <c r="AU104" s="189" t="n"/>
      <c r="AV104" s="189" t="n"/>
      <c r="AW104" s="77" t="inlineStr">
        <is>
          <t># de días de ausencia por AC</t>
        </is>
      </c>
      <c r="AX104" s="61" t="n">
        <v>0</v>
      </c>
      <c r="AY104" s="189" t="n"/>
      <c r="AZ104" s="189" t="n"/>
      <c r="BA104" s="189" t="n"/>
      <c r="BB104" s="77" t="inlineStr">
        <is>
          <t># de días de ausencia por AC</t>
        </is>
      </c>
      <c r="BC104" s="61" t="n">
        <v>0</v>
      </c>
      <c r="BD104" s="189" t="n"/>
      <c r="BE104" s="189" t="n"/>
      <c r="BF104" s="189" t="n"/>
      <c r="BG104" s="77" t="inlineStr">
        <is>
          <t># de días de ausencia por AC</t>
        </is>
      </c>
      <c r="BH104" s="61" t="n">
        <v>0</v>
      </c>
      <c r="BI104" s="189" t="n"/>
      <c r="BJ104" s="189" t="n"/>
      <c r="BK104" s="189" t="n"/>
      <c r="BL104" s="77" t="inlineStr">
        <is>
          <t># de días de ausencia por AC</t>
        </is>
      </c>
      <c r="BM104" s="61" t="n">
        <v>0</v>
      </c>
      <c r="BN104" s="189" t="n"/>
      <c r="BO104" s="189" t="n"/>
      <c r="BP104" s="189" t="n"/>
    </row>
    <row r="105" ht="28.5" customHeight="1" s="78">
      <c r="A105" s="189" t="n"/>
      <c r="B105" s="189" t="n"/>
      <c r="C105" s="189" t="n"/>
      <c r="D105" s="189" t="n"/>
      <c r="E105" s="189" t="n"/>
      <c r="F105" s="189" t="n"/>
      <c r="G105" s="189" t="n"/>
      <c r="H105" s="189" t="n"/>
      <c r="I105" s="77" t="inlineStr">
        <is>
          <t># de días de ausencia por EC</t>
        </is>
      </c>
      <c r="J105" s="61" t="n">
        <v>0</v>
      </c>
      <c r="K105" s="189" t="n"/>
      <c r="L105" s="189" t="n"/>
      <c r="M105" s="189" t="n"/>
      <c r="N105" s="77" t="inlineStr">
        <is>
          <t># de días de ausencia por EC</t>
        </is>
      </c>
      <c r="O105" s="61" t="n">
        <v>0</v>
      </c>
      <c r="P105" s="189" t="n"/>
      <c r="Q105" s="189" t="n"/>
      <c r="R105" s="189" t="n"/>
      <c r="S105" s="77" t="inlineStr">
        <is>
          <t># de días de ausencia por EC</t>
        </is>
      </c>
      <c r="T105" s="61" t="n">
        <v>0</v>
      </c>
      <c r="U105" s="189" t="n"/>
      <c r="V105" s="189" t="n"/>
      <c r="W105" s="189" t="n"/>
      <c r="X105" s="77" t="inlineStr">
        <is>
          <t># de días de ausencia por EC</t>
        </is>
      </c>
      <c r="Y105" s="61" t="n">
        <v>0</v>
      </c>
      <c r="Z105" s="189" t="n"/>
      <c r="AA105" s="189" t="n"/>
      <c r="AB105" s="189" t="n"/>
      <c r="AC105" s="77" t="inlineStr">
        <is>
          <t># de días de ausencia por EC</t>
        </is>
      </c>
      <c r="AD105" s="61" t="n">
        <v>0</v>
      </c>
      <c r="AE105" s="189" t="n"/>
      <c r="AF105" s="189" t="n"/>
      <c r="AG105" s="189" t="n"/>
      <c r="AH105" s="77" t="inlineStr">
        <is>
          <t># de días de ausencia por EC</t>
        </is>
      </c>
      <c r="AI105" s="61" t="n">
        <v>0</v>
      </c>
      <c r="AJ105" s="189" t="n"/>
      <c r="AK105" s="189" t="n"/>
      <c r="AL105" s="189" t="n"/>
      <c r="AM105" s="77" t="inlineStr">
        <is>
          <t># de días de ausencia por EC</t>
        </is>
      </c>
      <c r="AN105" s="61" t="n">
        <v>0</v>
      </c>
      <c r="AO105" s="189" t="n"/>
      <c r="AP105" s="189" t="n"/>
      <c r="AQ105" s="189" t="n"/>
      <c r="AR105" s="77" t="inlineStr">
        <is>
          <t># de días de ausencia por EC</t>
        </is>
      </c>
      <c r="AS105" s="61" t="n">
        <v>0</v>
      </c>
      <c r="AT105" s="189" t="n"/>
      <c r="AU105" s="189" t="n"/>
      <c r="AV105" s="189" t="n"/>
      <c r="AW105" s="77" t="inlineStr">
        <is>
          <t># de días de ausencia por EC</t>
        </is>
      </c>
      <c r="AX105" s="61" t="n">
        <v>0</v>
      </c>
      <c r="AY105" s="189" t="n"/>
      <c r="AZ105" s="189" t="n"/>
      <c r="BA105" s="189" t="n"/>
      <c r="BB105" s="77" t="inlineStr">
        <is>
          <t># de días de ausencia por EC</t>
        </is>
      </c>
      <c r="BC105" s="61" t="n">
        <v>0</v>
      </c>
      <c r="BD105" s="189" t="n"/>
      <c r="BE105" s="189" t="n"/>
      <c r="BF105" s="189" t="n"/>
      <c r="BG105" s="77" t="inlineStr">
        <is>
          <t># de días de ausencia por EC</t>
        </is>
      </c>
      <c r="BH105" s="61" t="n">
        <v>0</v>
      </c>
      <c r="BI105" s="189" t="n"/>
      <c r="BJ105" s="189" t="n"/>
      <c r="BK105" s="189" t="n"/>
      <c r="BL105" s="77" t="inlineStr">
        <is>
          <t># de días de ausencia por EC</t>
        </is>
      </c>
      <c r="BM105" s="61" t="n">
        <v>0</v>
      </c>
      <c r="BN105" s="189" t="n"/>
      <c r="BO105" s="189" t="n"/>
      <c r="BP105" s="189" t="n"/>
    </row>
    <row r="106" ht="35.25" customHeight="1" s="78">
      <c r="A106" s="189" t="n"/>
      <c r="B106" s="189" t="n"/>
      <c r="C106" s="189" t="n"/>
      <c r="D106" s="189" t="n"/>
      <c r="E106" s="189" t="n"/>
      <c r="F106" s="189" t="n"/>
      <c r="G106" s="189" t="n"/>
      <c r="H106" s="189" t="n"/>
      <c r="I106" s="77" t="inlineStr">
        <is>
          <t># de días programados en el mes</t>
        </is>
      </c>
      <c r="J106" s="61" t="n">
        <v>23</v>
      </c>
      <c r="K106" s="189" t="n"/>
      <c r="L106" s="189" t="n"/>
      <c r="M106" s="189" t="n"/>
      <c r="N106" s="77" t="inlineStr">
        <is>
          <t># de días programados en el mes</t>
        </is>
      </c>
      <c r="O106" s="61" t="n">
        <v>24</v>
      </c>
      <c r="P106" s="189" t="n"/>
      <c r="Q106" s="189" t="n"/>
      <c r="R106" s="189" t="n"/>
      <c r="S106" s="77" t="inlineStr">
        <is>
          <t># de días programados en el mes</t>
        </is>
      </c>
      <c r="T106" s="61" t="n">
        <v>26</v>
      </c>
      <c r="U106" s="189" t="n"/>
      <c r="V106" s="189" t="n"/>
      <c r="W106" s="189" t="n"/>
      <c r="X106" s="77" t="inlineStr">
        <is>
          <t># de días programados en el mes</t>
        </is>
      </c>
      <c r="Y106" s="61" t="n">
        <v>23</v>
      </c>
      <c r="Z106" s="189" t="n"/>
      <c r="AA106" s="189" t="n"/>
      <c r="AB106" s="189" t="n"/>
      <c r="AC106" s="77" t="inlineStr">
        <is>
          <t># de días programados en el mes</t>
        </is>
      </c>
      <c r="AD106" s="61" t="n">
        <v>25</v>
      </c>
      <c r="AE106" s="189" t="n"/>
      <c r="AF106" s="189" t="n"/>
      <c r="AG106" s="189" t="n"/>
      <c r="AH106" s="77" t="inlineStr">
        <is>
          <t># de días programados en el mes</t>
        </is>
      </c>
      <c r="AI106" s="61" t="n">
        <v>24</v>
      </c>
      <c r="AJ106" s="189" t="n"/>
      <c r="AK106" s="189" t="n"/>
      <c r="AL106" s="189" t="n"/>
      <c r="AM106" s="77" t="inlineStr">
        <is>
          <t># de días programados en el mes</t>
        </is>
      </c>
      <c r="AN106" s="61" t="n">
        <v>24</v>
      </c>
      <c r="AO106" s="189" t="n"/>
      <c r="AP106" s="189" t="n"/>
      <c r="AQ106" s="189" t="n"/>
      <c r="AR106" s="77" t="inlineStr">
        <is>
          <t># de días programados en el mes</t>
        </is>
      </c>
      <c r="AS106" s="61" t="n">
        <v>25</v>
      </c>
      <c r="AT106" s="189" t="n"/>
      <c r="AU106" s="189" t="n"/>
      <c r="AV106" s="189" t="n"/>
      <c r="AW106" s="77" t="inlineStr">
        <is>
          <t># de días programados en el mes</t>
        </is>
      </c>
      <c r="AX106" s="61" t="n">
        <v>26</v>
      </c>
      <c r="AY106" s="189" t="n"/>
      <c r="AZ106" s="189" t="n"/>
      <c r="BA106" s="189" t="n"/>
      <c r="BB106" s="77" t="inlineStr">
        <is>
          <t># de días programados en el mes</t>
        </is>
      </c>
      <c r="BC106" s="61" t="n">
        <v>26</v>
      </c>
      <c r="BD106" s="189" t="n"/>
      <c r="BE106" s="189" t="n"/>
      <c r="BF106" s="189" t="n"/>
      <c r="BG106" s="77" t="inlineStr">
        <is>
          <t># de días programados en el mes</t>
        </is>
      </c>
      <c r="BH106" s="61" t="n">
        <v>26</v>
      </c>
      <c r="BI106" s="189" t="n"/>
      <c r="BJ106" s="189" t="n"/>
      <c r="BK106" s="189" t="n"/>
      <c r="BL106" s="77" t="inlineStr">
        <is>
          <t># de días programados en el mes</t>
        </is>
      </c>
      <c r="BM106" s="61" t="n">
        <v>20</v>
      </c>
      <c r="BN106" s="189" t="n"/>
      <c r="BO106" s="189" t="n"/>
      <c r="BP106" s="189" t="n"/>
    </row>
    <row r="107" ht="24.75" customHeight="1" s="78">
      <c r="A107" s="192" t="n"/>
      <c r="B107" s="192" t="n"/>
      <c r="C107" s="192" t="n"/>
      <c r="D107" s="192" t="n"/>
      <c r="E107" s="192" t="n"/>
      <c r="F107" s="192" t="n"/>
      <c r="G107" s="192" t="n"/>
      <c r="H107" s="192" t="n"/>
      <c r="I107" s="77" t="inlineStr">
        <is>
          <t># de trabajadores en el mes</t>
        </is>
      </c>
      <c r="J107" s="61" t="n">
        <v>6</v>
      </c>
      <c r="K107" s="192" t="n"/>
      <c r="L107" s="192" t="n"/>
      <c r="M107" s="192" t="n"/>
      <c r="N107" s="77" t="inlineStr">
        <is>
          <t># de trabajadores en el mes</t>
        </is>
      </c>
      <c r="O107" s="61" t="n">
        <v>5</v>
      </c>
      <c r="P107" s="192" t="n"/>
      <c r="Q107" s="192" t="n"/>
      <c r="R107" s="192" t="n"/>
      <c r="S107" s="77" t="inlineStr">
        <is>
          <t># de trabajadores en el mes</t>
        </is>
      </c>
      <c r="T107" s="61" t="n">
        <v>4</v>
      </c>
      <c r="U107" s="192" t="n"/>
      <c r="V107" s="192" t="n"/>
      <c r="W107" s="192" t="n"/>
      <c r="X107" s="77" t="inlineStr">
        <is>
          <t># de trabajadores en el mes</t>
        </is>
      </c>
      <c r="Y107" s="61" t="n">
        <v>4</v>
      </c>
      <c r="Z107" s="192" t="n"/>
      <c r="AA107" s="192" t="n"/>
      <c r="AB107" s="192" t="n"/>
      <c r="AC107" s="77" t="inlineStr">
        <is>
          <t># de trabajadores en el mes</t>
        </is>
      </c>
      <c r="AD107" s="61" t="n">
        <v>4</v>
      </c>
      <c r="AE107" s="192" t="n"/>
      <c r="AF107" s="192" t="n"/>
      <c r="AG107" s="192" t="n"/>
      <c r="AH107" s="77" t="inlineStr">
        <is>
          <t># de trabajadores en el mes</t>
        </is>
      </c>
      <c r="AI107" s="61" t="n">
        <v>4</v>
      </c>
      <c r="AJ107" s="192" t="n"/>
      <c r="AK107" s="192" t="n"/>
      <c r="AL107" s="192" t="n"/>
      <c r="AM107" s="77" t="inlineStr">
        <is>
          <t># de trabajadores en el mes</t>
        </is>
      </c>
      <c r="AN107" s="61" t="n">
        <v>4</v>
      </c>
      <c r="AO107" s="192" t="n"/>
      <c r="AP107" s="192" t="n"/>
      <c r="AQ107" s="192" t="n"/>
      <c r="AR107" s="77" t="inlineStr">
        <is>
          <t># de trabajadores en el mes</t>
        </is>
      </c>
      <c r="AS107" s="61" t="n">
        <v>5</v>
      </c>
      <c r="AT107" s="192" t="n"/>
      <c r="AU107" s="192" t="n"/>
      <c r="AV107" s="192" t="n"/>
      <c r="AW107" s="77" t="inlineStr">
        <is>
          <t># de trabajadores en el mes</t>
        </is>
      </c>
      <c r="AX107" s="61" t="n">
        <v>6</v>
      </c>
      <c r="AY107" s="192" t="n"/>
      <c r="AZ107" s="192" t="n"/>
      <c r="BA107" s="192" t="n"/>
      <c r="BB107" s="77" t="inlineStr">
        <is>
          <t># de trabajadores en el mes</t>
        </is>
      </c>
      <c r="BC107" s="61" t="n">
        <v>3</v>
      </c>
      <c r="BD107" s="192" t="n"/>
      <c r="BE107" s="192" t="n"/>
      <c r="BF107" s="192" t="n"/>
      <c r="BG107" s="77" t="inlineStr">
        <is>
          <t># de trabajadores en el mes</t>
        </is>
      </c>
      <c r="BH107" s="61" t="n">
        <v>15</v>
      </c>
      <c r="BI107" s="192" t="n"/>
      <c r="BJ107" s="192" t="n"/>
      <c r="BK107" s="192" t="n"/>
      <c r="BL107" s="77" t="inlineStr">
        <is>
          <t># de trabajadores en el mes</t>
        </is>
      </c>
      <c r="BM107" s="61" t="n">
        <v>14</v>
      </c>
      <c r="BN107" s="192" t="n"/>
      <c r="BO107" s="192" t="n"/>
      <c r="BP107" s="192" t="n"/>
    </row>
    <row r="129">
      <c r="A129" s="132" t="inlineStr">
        <is>
          <t>INDICADORES RESOLUCIÓN 0312/2019 - AÑO 2026</t>
        </is>
      </c>
      <c r="B129" s="185" t="n"/>
      <c r="C129" s="185" t="n"/>
      <c r="D129" s="185" t="n"/>
      <c r="E129" s="185" t="n"/>
      <c r="F129" s="185" t="n"/>
      <c r="G129" s="185" t="n"/>
      <c r="H129" s="186" t="n"/>
      <c r="I129" s="101" t="inlineStr">
        <is>
          <t xml:space="preserve">RESULTADOS </t>
        </is>
      </c>
      <c r="J129" s="194" t="n"/>
      <c r="K129" s="194" t="n"/>
      <c r="L129" s="194" t="n"/>
      <c r="M129" s="194" t="n"/>
      <c r="N129" s="194" t="n"/>
      <c r="O129" s="194" t="n"/>
      <c r="P129" s="194" t="n"/>
      <c r="Q129" s="194" t="n"/>
      <c r="R129" s="194" t="n"/>
      <c r="S129" s="194" t="n"/>
      <c r="T129" s="194" t="n"/>
      <c r="U129" s="194" t="n"/>
      <c r="V129" s="194" t="n"/>
      <c r="W129" s="194" t="n"/>
      <c r="X129" s="194" t="n"/>
      <c r="Y129" s="194" t="n"/>
      <c r="Z129" s="194" t="n"/>
      <c r="AA129" s="194" t="n"/>
      <c r="AB129" s="194" t="n"/>
      <c r="AC129" s="194" t="n"/>
      <c r="AD129" s="194" t="n"/>
      <c r="AE129" s="194" t="n"/>
      <c r="AF129" s="194" t="n"/>
      <c r="AG129" s="194" t="n"/>
      <c r="AH129" s="194" t="n"/>
      <c r="AI129" s="194" t="n"/>
      <c r="AJ129" s="194" t="n"/>
      <c r="AK129" s="194" t="n"/>
      <c r="AL129" s="194" t="n"/>
      <c r="AM129" s="194" t="n"/>
      <c r="AN129" s="194" t="n"/>
      <c r="AO129" s="194" t="n"/>
      <c r="AP129" s="194" t="n"/>
      <c r="AQ129" s="194" t="n"/>
      <c r="AR129" s="194" t="n"/>
      <c r="AS129" s="194" t="n"/>
      <c r="AT129" s="194" t="n"/>
      <c r="AU129" s="194" t="n"/>
      <c r="AV129" s="194" t="n"/>
      <c r="AW129" s="194" t="n"/>
      <c r="AX129" s="194" t="n"/>
      <c r="AY129" s="194" t="n"/>
      <c r="AZ129" s="194" t="n"/>
      <c r="BA129" s="194" t="n"/>
      <c r="BB129" s="194" t="n"/>
      <c r="BC129" s="194" t="n"/>
      <c r="BD129" s="194" t="n"/>
      <c r="BE129" s="194" t="n"/>
      <c r="BF129" s="194" t="n"/>
      <c r="BG129" s="194" t="n"/>
      <c r="BH129" s="194" t="n"/>
      <c r="BI129" s="194" t="n"/>
      <c r="BJ129" s="194" t="n"/>
      <c r="BK129" s="194" t="n"/>
      <c r="BL129" s="194" t="n"/>
      <c r="BM129" s="194" t="n"/>
      <c r="BN129" s="194" t="n"/>
      <c r="BO129" s="194" t="n"/>
      <c r="BP129" s="100" t="n"/>
    </row>
    <row r="130">
      <c r="A130" s="193" t="n"/>
      <c r="B130" s="194" t="n"/>
      <c r="C130" s="194" t="n"/>
      <c r="D130" s="194" t="n"/>
      <c r="E130" s="194" t="n"/>
      <c r="F130" s="194" t="n"/>
      <c r="G130" s="194" t="n"/>
      <c r="H130" s="195" t="n"/>
      <c r="I130" s="70" t="inlineStr">
        <is>
          <t>AÑO: 2026</t>
        </is>
      </c>
      <c r="J130" s="187" t="n"/>
      <c r="K130" s="187" t="n"/>
      <c r="L130" s="187" t="n"/>
      <c r="M130" s="187" t="n"/>
      <c r="N130" s="187" t="n"/>
      <c r="O130" s="187" t="n"/>
      <c r="P130" s="187" t="n"/>
      <c r="Q130" s="187" t="n"/>
      <c r="R130" s="187" t="n"/>
      <c r="S130" s="187" t="n"/>
      <c r="T130" s="187" t="n"/>
      <c r="U130" s="187" t="n"/>
      <c r="V130" s="187" t="n"/>
      <c r="W130" s="187" t="n"/>
      <c r="X130" s="187" t="n"/>
      <c r="Y130" s="187" t="n"/>
      <c r="Z130" s="187" t="n"/>
      <c r="AA130" s="187" t="n"/>
      <c r="AB130" s="187" t="n"/>
      <c r="AC130" s="187" t="n"/>
      <c r="AD130" s="187" t="n"/>
      <c r="AE130" s="187" t="n"/>
      <c r="AF130" s="187" t="n"/>
      <c r="AG130" s="187" t="n"/>
      <c r="AH130" s="187" t="n"/>
      <c r="AI130" s="187" t="n"/>
      <c r="AJ130" s="187" t="n"/>
      <c r="AK130" s="187" t="n"/>
      <c r="AL130" s="187" t="n"/>
      <c r="AM130" s="187" t="n"/>
      <c r="AN130" s="187" t="n"/>
      <c r="AO130" s="187" t="n"/>
      <c r="AP130" s="187" t="n"/>
      <c r="AQ130" s="187" t="n"/>
      <c r="AR130" s="187" t="n"/>
      <c r="AS130" s="187" t="n"/>
      <c r="AT130" s="187" t="n"/>
      <c r="AU130" s="187" t="n"/>
      <c r="AV130" s="187" t="n"/>
      <c r="AW130" s="187" t="n"/>
      <c r="AX130" s="187" t="n"/>
      <c r="AY130" s="187" t="n"/>
      <c r="AZ130" s="187" t="n"/>
      <c r="BA130" s="187" t="n"/>
      <c r="BB130" s="187" t="n"/>
      <c r="BC130" s="187" t="n"/>
      <c r="BD130" s="187" t="n"/>
      <c r="BE130" s="187" t="n"/>
      <c r="BF130" s="187" t="n"/>
      <c r="BG130" s="187" t="n"/>
      <c r="BH130" s="187" t="n"/>
      <c r="BI130" s="187" t="n"/>
      <c r="BJ130" s="187" t="n"/>
      <c r="BK130" s="187" t="n"/>
      <c r="BL130" s="187" t="n"/>
      <c r="BM130" s="187" t="n"/>
      <c r="BN130" s="187" t="n"/>
      <c r="BO130" s="188" t="n"/>
      <c r="BP130" s="70" t="n"/>
    </row>
    <row r="131" ht="22.5" customHeight="1" s="78">
      <c r="A131" s="32" t="inlineStr">
        <is>
          <t>DEFINICION DEL INDICADOR</t>
        </is>
      </c>
      <c r="B131" s="32" t="inlineStr">
        <is>
          <t>INTERPRETACION</t>
        </is>
      </c>
      <c r="C131" s="32" t="inlineStr">
        <is>
          <t>LIMITE DEL INDICADOR</t>
        </is>
      </c>
      <c r="D131" s="32" t="inlineStr">
        <is>
          <t>METODO DE CALCULO Y/O VERIFICACION</t>
        </is>
      </c>
      <c r="E131" s="32" t="inlineStr">
        <is>
          <t>FUENTE DE INFORMACION</t>
        </is>
      </c>
      <c r="F131" s="32" t="inlineStr">
        <is>
          <t>PERIODICIDAD</t>
        </is>
      </c>
      <c r="G131" s="32" t="inlineStr">
        <is>
          <t>RESPONSABLE</t>
        </is>
      </c>
      <c r="H131" s="32" t="inlineStr">
        <is>
          <t>COMUNICARLO A :</t>
        </is>
      </c>
      <c r="I131" s="32" t="inlineStr">
        <is>
          <t>DATOS DEL MES</t>
        </is>
      </c>
      <c r="J131" s="188" t="n"/>
      <c r="K131" s="32" t="inlineStr">
        <is>
          <t>ENERO</t>
        </is>
      </c>
      <c r="L131" s="32" t="inlineStr">
        <is>
          <t>CUMPLIMIENTO (SI/NO)</t>
        </is>
      </c>
      <c r="M131" s="32" t="inlineStr">
        <is>
          <t>INTERPRETACIÓN DE RESULTADO</t>
        </is>
      </c>
      <c r="N131" s="57" t="inlineStr">
        <is>
          <t>DATOS DEL MES</t>
        </is>
      </c>
      <c r="O131" s="188" t="n"/>
      <c r="P131" s="57" t="inlineStr">
        <is>
          <t>FEBRERO</t>
        </is>
      </c>
      <c r="Q131" s="57" t="inlineStr">
        <is>
          <t>CUMPLIMIENTO (SI/NO)</t>
        </is>
      </c>
      <c r="R131" s="57" t="inlineStr">
        <is>
          <t>INTERPRETACIÓN DE RESULTADO</t>
        </is>
      </c>
      <c r="S131" s="32" t="inlineStr">
        <is>
          <t>DATOS DEL MES</t>
        </is>
      </c>
      <c r="T131" s="188" t="n"/>
      <c r="U131" s="32" t="inlineStr">
        <is>
          <t>MARZO</t>
        </is>
      </c>
      <c r="V131" s="32" t="inlineStr">
        <is>
          <t>CUMPLIMIENTO (SI/NO)</t>
        </is>
      </c>
      <c r="W131" s="32" t="inlineStr">
        <is>
          <t>INTERPRETACIÓN DE RESULTADO</t>
        </is>
      </c>
      <c r="X131" s="57" t="inlineStr">
        <is>
          <t>DATOS DEL MES</t>
        </is>
      </c>
      <c r="Y131" s="188" t="n"/>
      <c r="Z131" s="57" t="inlineStr">
        <is>
          <t>ABRIL</t>
        </is>
      </c>
      <c r="AA131" s="57" t="inlineStr">
        <is>
          <t>CUMPLIMIENTO (SI/NO)</t>
        </is>
      </c>
      <c r="AB131" s="57" t="inlineStr">
        <is>
          <t>INTERPRETACIÓN DE RESULTADO</t>
        </is>
      </c>
      <c r="AC131" s="32" t="inlineStr">
        <is>
          <t>DATOS DEL MES</t>
        </is>
      </c>
      <c r="AD131" s="188" t="n"/>
      <c r="AE131" s="32" t="inlineStr">
        <is>
          <t>MAYO</t>
        </is>
      </c>
      <c r="AF131" s="32" t="inlineStr">
        <is>
          <t>CUMPLIMIENTO (SI/NO)</t>
        </is>
      </c>
      <c r="AG131" s="32" t="inlineStr">
        <is>
          <t>INTERPRETACIÓN DE RESULTADO</t>
        </is>
      </c>
      <c r="AH131" s="57" t="inlineStr">
        <is>
          <t>DATOS DEL MES</t>
        </is>
      </c>
      <c r="AI131" s="188" t="n"/>
      <c r="AJ131" s="57" t="inlineStr">
        <is>
          <t>JUNIO</t>
        </is>
      </c>
      <c r="AK131" s="57" t="inlineStr">
        <is>
          <t>CUMPLIMIENTO (SI/NO)</t>
        </is>
      </c>
      <c r="AL131" s="57" t="inlineStr">
        <is>
          <t>INTERPRETACIÓN DE RESULTADO</t>
        </is>
      </c>
      <c r="AM131" s="32" t="inlineStr">
        <is>
          <t>DATOS DEL MES</t>
        </is>
      </c>
      <c r="AN131" s="188" t="n"/>
      <c r="AO131" s="32" t="inlineStr">
        <is>
          <t>JULIO</t>
        </is>
      </c>
      <c r="AP131" s="32" t="inlineStr">
        <is>
          <t>CUMPLIMIENTO (SI/NO)</t>
        </is>
      </c>
      <c r="AQ131" s="32" t="inlineStr">
        <is>
          <t>INTERPRETACIÓN DE RESULTADO</t>
        </is>
      </c>
      <c r="AR131" s="57" t="inlineStr">
        <is>
          <t>DATOS DEL MES</t>
        </is>
      </c>
      <c r="AS131" s="188" t="n"/>
      <c r="AT131" s="57" t="inlineStr">
        <is>
          <t>AGOSTO</t>
        </is>
      </c>
      <c r="AU131" s="57" t="inlineStr">
        <is>
          <t>CUMPLIMIENTO (SI/NO)</t>
        </is>
      </c>
      <c r="AV131" s="57" t="inlineStr">
        <is>
          <t>INTERPRETACIÓN DE RESULTADO</t>
        </is>
      </c>
      <c r="AW131" s="32" t="inlineStr">
        <is>
          <t>DATOS DEL MES</t>
        </is>
      </c>
      <c r="AX131" s="188" t="n"/>
      <c r="AY131" s="32" t="inlineStr">
        <is>
          <t>SEPTIEMBRE</t>
        </is>
      </c>
      <c r="AZ131" s="32" t="inlineStr">
        <is>
          <t>CUMPLIMIENTO (SI/NO)</t>
        </is>
      </c>
      <c r="BA131" s="32" t="inlineStr">
        <is>
          <t>INTERPRETACIÓN DE RESULTADO</t>
        </is>
      </c>
      <c r="BB131" s="57" t="inlineStr">
        <is>
          <t>DATOS DEL MES</t>
        </is>
      </c>
      <c r="BC131" s="188" t="n"/>
      <c r="BD131" s="57" t="inlineStr">
        <is>
          <t>OCTUBRE</t>
        </is>
      </c>
      <c r="BE131" s="57" t="inlineStr">
        <is>
          <t>CUMPLIMIENTO (SI/NO)</t>
        </is>
      </c>
      <c r="BF131" s="57" t="inlineStr">
        <is>
          <t>INTERPRETACIÓN DE RESULTADO</t>
        </is>
      </c>
      <c r="BG131" s="32" t="inlineStr">
        <is>
          <t>DATOS DEL MES</t>
        </is>
      </c>
      <c r="BH131" s="188" t="n"/>
      <c r="BI131" s="32" t="inlineStr">
        <is>
          <t>NOVIEMBRE</t>
        </is>
      </c>
      <c r="BJ131" s="32" t="inlineStr">
        <is>
          <t>CUMPLIMIENTO (SI/NO)</t>
        </is>
      </c>
      <c r="BK131" s="32" t="inlineStr">
        <is>
          <t>INTERPRETACIÓN DE RESULTADO</t>
        </is>
      </c>
      <c r="BL131" s="57" t="inlineStr">
        <is>
          <t>DATOS DEL MES</t>
        </is>
      </c>
      <c r="BM131" s="188" t="n"/>
      <c r="BN131" s="57" t="inlineStr">
        <is>
          <t>DICIEMBRE</t>
        </is>
      </c>
      <c r="BO131" s="57" t="inlineStr">
        <is>
          <t>CUMPLIMIENTO (SI/NO)</t>
        </is>
      </c>
      <c r="BP131" s="57" t="inlineStr">
        <is>
          <t>INTERPRETACIÓN DE RESULTADO</t>
        </is>
      </c>
    </row>
    <row r="132" ht="50.25" customHeight="1" s="78">
      <c r="A132" s="131" t="inlineStr">
        <is>
          <t>SEVERIDAD DE ACCIDENTALIDAD</t>
        </is>
      </c>
      <c r="B132" s="131" t="inlineStr">
        <is>
          <t>Número de días perdidos por accidentes de trabajo en el mes.</t>
        </is>
      </c>
      <c r="C132" s="169" t="n">
        <v>0.5</v>
      </c>
      <c r="D132" s="131" t="inlineStr">
        <is>
          <t>(# de días de incapacidad por accidente de trabajo en el mes  / # de trabajadores en el mes) X 100%</t>
        </is>
      </c>
      <c r="E132" s="131" t="inlineStr">
        <is>
          <t>Registro de incapacidades por AT y lista de trabajadores en el mes</t>
        </is>
      </c>
      <c r="F132" s="131" t="inlineStr">
        <is>
          <t>MENSUAL</t>
        </is>
      </c>
      <c r="G132" s="131" t="inlineStr">
        <is>
          <t>Área SST, COPASST o VIGÍA</t>
        </is>
      </c>
      <c r="H132" s="171" t="inlineStr">
        <is>
          <t>Alta gerencia, COPASST/VIGÍA, CCL, brigadistas, área SST, trabajadores</t>
        </is>
      </c>
      <c r="I132" s="62" t="inlineStr">
        <is>
          <t># de días de incapacidad por accidente de trabajo en el mes</t>
        </is>
      </c>
      <c r="J132" s="61" t="n">
        <v>0</v>
      </c>
      <c r="K132" s="147">
        <f>(J132/J133)*100%</f>
        <v/>
      </c>
      <c r="L132" s="143" t="inlineStr">
        <is>
          <t>SI</t>
        </is>
      </c>
      <c r="M132" s="144" t="n"/>
      <c r="N132" s="62" t="inlineStr">
        <is>
          <t># de días de incapacidad por accidente de trabajo en el mes</t>
        </is>
      </c>
      <c r="O132" s="61" t="n">
        <v>7</v>
      </c>
      <c r="P132" s="143">
        <f>(O132/O133)*100%</f>
        <v/>
      </c>
      <c r="Q132" s="143" t="inlineStr">
        <is>
          <t>NO</t>
        </is>
      </c>
      <c r="R132" s="144" t="inlineStr">
        <is>
          <t>Por cada 100 trabajadores que laboraron en el mes, se perdieron 1,75 dias de incapacidad por accidente de trabajo.</t>
        </is>
      </c>
      <c r="S132" s="62" t="inlineStr">
        <is>
          <t># de días de incapacidad por accidente de trabajo en el mes</t>
        </is>
      </c>
      <c r="T132" s="61" t="n">
        <v>0</v>
      </c>
      <c r="U132" s="145">
        <f>(T132/T133)*100%</f>
        <v/>
      </c>
      <c r="V132" s="143" t="inlineStr">
        <is>
          <t>SI</t>
        </is>
      </c>
      <c r="W132" s="144" t="n"/>
      <c r="X132" s="62" t="inlineStr">
        <is>
          <t># de días de incapacidad por accidente de trabajo en el mes</t>
        </is>
      </c>
      <c r="Y132" s="61" t="n">
        <v>0</v>
      </c>
      <c r="Z132" s="147">
        <f>(Y132/Y133)*100%</f>
        <v/>
      </c>
      <c r="AA132" s="143" t="inlineStr">
        <is>
          <t>SI</t>
        </is>
      </c>
      <c r="AB132" s="144" t="n"/>
      <c r="AC132" s="62" t="inlineStr">
        <is>
          <t># de días de incapacidad por accidente de trabajo en el mes</t>
        </is>
      </c>
      <c r="AD132" s="61" t="n">
        <v>0</v>
      </c>
      <c r="AE132" s="143">
        <f>(AD132/AD133)*100</f>
        <v/>
      </c>
      <c r="AF132" s="143" t="inlineStr">
        <is>
          <t>SI</t>
        </is>
      </c>
      <c r="AG132" s="144" t="n"/>
      <c r="AH132" s="62" t="inlineStr">
        <is>
          <t># de días de incapacidad por accidente de trabajo en el mes</t>
        </is>
      </c>
      <c r="AI132" s="61" t="n">
        <v>0</v>
      </c>
      <c r="AJ132" s="143">
        <f>(AI132/AI133)*100</f>
        <v/>
      </c>
      <c r="AK132" s="143" t="inlineStr">
        <is>
          <t>SI</t>
        </is>
      </c>
      <c r="AL132" s="144" t="n"/>
      <c r="AM132" s="62" t="inlineStr">
        <is>
          <t># de días de incapacidad por accidente de trabajo en el mes</t>
        </is>
      </c>
      <c r="AN132" s="61" t="n">
        <v>0</v>
      </c>
      <c r="AO132" s="147">
        <f>(AN132/AN133)*100</f>
        <v/>
      </c>
      <c r="AP132" s="143" t="inlineStr">
        <is>
          <t>SI</t>
        </is>
      </c>
      <c r="AQ132" s="144" t="n"/>
      <c r="AR132" s="62" t="inlineStr">
        <is>
          <t># de días de incapacidad por accidente de trabajo en el mes</t>
        </is>
      </c>
      <c r="AS132" s="61" t="n">
        <v>0</v>
      </c>
      <c r="AT132" s="147">
        <f>(AS132/AS133)*100</f>
        <v/>
      </c>
      <c r="AU132" s="143" t="inlineStr">
        <is>
          <t>SI</t>
        </is>
      </c>
      <c r="AV132" s="144" t="n"/>
      <c r="AW132" s="62" t="inlineStr">
        <is>
          <t># de días de incapacidad por accidente de trabajo en el mes</t>
        </is>
      </c>
      <c r="AX132" s="61" t="n">
        <v>0</v>
      </c>
      <c r="AY132" s="147">
        <f>(AX132/AX133)*100</f>
        <v/>
      </c>
      <c r="AZ132" s="143" t="inlineStr">
        <is>
          <t>SI</t>
        </is>
      </c>
      <c r="BA132" s="144" t="n"/>
      <c r="BB132" s="62" t="inlineStr">
        <is>
          <t># de días de incapacidad por accidente de trabajo en el mes</t>
        </is>
      </c>
      <c r="BC132" s="61" t="n">
        <v>0</v>
      </c>
      <c r="BD132" s="147">
        <f>(BC132/BC133)*100</f>
        <v/>
      </c>
      <c r="BE132" s="143" t="inlineStr">
        <is>
          <t>SI</t>
        </is>
      </c>
      <c r="BF132" s="144" t="n"/>
      <c r="BG132" s="62" t="inlineStr">
        <is>
          <t># de días de incapacidad por accidente de trabajo en el mes</t>
        </is>
      </c>
      <c r="BH132" s="61" t="n">
        <v>13</v>
      </c>
      <c r="BI132" s="147">
        <f>(BH132/BH133)*100%</f>
        <v/>
      </c>
      <c r="BJ132" s="143" t="inlineStr">
        <is>
          <t>NO</t>
        </is>
      </c>
      <c r="BK132" s="144" t="inlineStr">
        <is>
          <t>Por cada 100 trabajadores que laboraron en el mes, se perdieron 86,7% dias de incapacidad por accidente de trabajo.</t>
        </is>
      </c>
      <c r="BL132" s="62" t="inlineStr">
        <is>
          <t># de días de incapacidad por accidente de trabajo en el mes</t>
        </is>
      </c>
      <c r="BM132" s="61" t="n">
        <v>30</v>
      </c>
      <c r="BN132" s="147">
        <f>(BM132/BM133)*100%</f>
        <v/>
      </c>
      <c r="BO132" s="143" t="inlineStr">
        <is>
          <t>NO</t>
        </is>
      </c>
      <c r="BP132" s="144" t="inlineStr">
        <is>
          <t>Por cada 100 trabajadores que laboraron en el mes, se perdieron 2,14 % dias de incapacidad por accidente de trabajo.</t>
        </is>
      </c>
    </row>
    <row r="133" ht="34.5" customHeight="1" s="78">
      <c r="A133" s="192" t="n"/>
      <c r="B133" s="192" t="n"/>
      <c r="C133" s="192" t="n"/>
      <c r="D133" s="192" t="n"/>
      <c r="E133" s="192" t="n"/>
      <c r="F133" s="192" t="n"/>
      <c r="G133" s="192" t="n"/>
      <c r="H133" s="192" t="n"/>
      <c r="I133" s="62" t="inlineStr">
        <is>
          <t># de trabajadores en el mes</t>
        </is>
      </c>
      <c r="J133" s="61" t="n">
        <v>6</v>
      </c>
      <c r="K133" s="192" t="n"/>
      <c r="L133" s="192" t="n"/>
      <c r="M133" s="192" t="n"/>
      <c r="N133" s="62" t="inlineStr">
        <is>
          <t># de trabajadores en el mes</t>
        </is>
      </c>
      <c r="O133" s="61" t="n">
        <v>4</v>
      </c>
      <c r="P133" s="192" t="n"/>
      <c r="Q133" s="192" t="n"/>
      <c r="R133" s="192" t="n"/>
      <c r="S133" s="62" t="inlineStr">
        <is>
          <t># de trabajadores en el mes</t>
        </is>
      </c>
      <c r="T133" s="61" t="n">
        <v>4</v>
      </c>
      <c r="U133" s="192" t="n"/>
      <c r="V133" s="192" t="n"/>
      <c r="W133" s="192" t="n"/>
      <c r="X133" s="62" t="inlineStr">
        <is>
          <t># de trabajadores en el mes</t>
        </is>
      </c>
      <c r="Y133" s="61" t="n">
        <v>4</v>
      </c>
      <c r="Z133" s="192" t="n"/>
      <c r="AA133" s="192" t="n"/>
      <c r="AB133" s="192" t="n"/>
      <c r="AC133" s="62" t="inlineStr">
        <is>
          <t># de trabajadores en el mes</t>
        </is>
      </c>
      <c r="AD133" s="61" t="n">
        <v>4</v>
      </c>
      <c r="AE133" s="192" t="n"/>
      <c r="AF133" s="192" t="n"/>
      <c r="AG133" s="192" t="n"/>
      <c r="AH133" s="62" t="inlineStr">
        <is>
          <t># de trabajadores en el mes</t>
        </is>
      </c>
      <c r="AI133" s="61" t="n">
        <v>4</v>
      </c>
      <c r="AJ133" s="192" t="n"/>
      <c r="AK133" s="192" t="n"/>
      <c r="AL133" s="192" t="n"/>
      <c r="AM133" s="62" t="inlineStr">
        <is>
          <t># de trabajadores en el mes</t>
        </is>
      </c>
      <c r="AN133" s="61" t="n">
        <v>4</v>
      </c>
      <c r="AO133" s="192" t="n"/>
      <c r="AP133" s="192" t="n"/>
      <c r="AQ133" s="192" t="n"/>
      <c r="AR133" s="62" t="inlineStr">
        <is>
          <t># de trabajadores en el mes</t>
        </is>
      </c>
      <c r="AS133" s="61" t="n">
        <v>4</v>
      </c>
      <c r="AT133" s="192" t="n"/>
      <c r="AU133" s="192" t="n"/>
      <c r="AV133" s="192" t="n"/>
      <c r="AW133" s="62" t="inlineStr">
        <is>
          <t># de trabajadores en el mes</t>
        </is>
      </c>
      <c r="AX133" s="61" t="n">
        <v>6</v>
      </c>
      <c r="AY133" s="192" t="n"/>
      <c r="AZ133" s="192" t="n"/>
      <c r="BA133" s="192" t="n"/>
      <c r="BB133" s="62" t="inlineStr">
        <is>
          <t># de trabajadores en el mes</t>
        </is>
      </c>
      <c r="BC133" s="61" t="n">
        <v>3</v>
      </c>
      <c r="BD133" s="192" t="n"/>
      <c r="BE133" s="192" t="n"/>
      <c r="BF133" s="192" t="n"/>
      <c r="BG133" s="62" t="inlineStr">
        <is>
          <t># de trabajadores en el mes</t>
        </is>
      </c>
      <c r="BH133" s="61" t="n">
        <v>15</v>
      </c>
      <c r="BI133" s="192" t="n"/>
      <c r="BJ133" s="192" t="n"/>
      <c r="BK133" s="192" t="n"/>
      <c r="BL133" s="62" t="inlineStr">
        <is>
          <t># de trabajadores en el mes</t>
        </is>
      </c>
      <c r="BM133" s="61" t="n">
        <v>14</v>
      </c>
      <c r="BN133" s="192" t="n"/>
      <c r="BO133" s="192" t="n"/>
      <c r="BP133" s="192" t="n"/>
    </row>
  </sheetData>
  <mergeCells count="359">
    <mergeCell ref="N101:O101"/>
    <mergeCell ref="K32:K33"/>
    <mergeCell ref="AP132:AP133"/>
    <mergeCell ref="C1:BN3"/>
    <mergeCell ref="BK56:BK57"/>
    <mergeCell ref="BO7:BO8"/>
    <mergeCell ref="R80:R81"/>
    <mergeCell ref="C132:C133"/>
    <mergeCell ref="AY102:AY107"/>
    <mergeCell ref="AF32:AF33"/>
    <mergeCell ref="BL55:BM55"/>
    <mergeCell ref="I129:BO129"/>
    <mergeCell ref="BK132:BK133"/>
    <mergeCell ref="BB6:BC6"/>
    <mergeCell ref="N31:O31"/>
    <mergeCell ref="AH79:AI79"/>
    <mergeCell ref="AT7:AT8"/>
    <mergeCell ref="AJ56:AJ57"/>
    <mergeCell ref="AV7:AV8"/>
    <mergeCell ref="Z80:Z81"/>
    <mergeCell ref="M102:M107"/>
    <mergeCell ref="AY32:AY33"/>
    <mergeCell ref="A129:H130"/>
    <mergeCell ref="G7:G8"/>
    <mergeCell ref="AW101:AX101"/>
    <mergeCell ref="BJ80:BJ81"/>
    <mergeCell ref="V132:V133"/>
    <mergeCell ref="L132:L133"/>
    <mergeCell ref="BE56:BE57"/>
    <mergeCell ref="U32:U33"/>
    <mergeCell ref="AU80:AU81"/>
    <mergeCell ref="AU7:AU8"/>
    <mergeCell ref="AJ102:AJ107"/>
    <mergeCell ref="AQ102:AQ107"/>
    <mergeCell ref="B32:B33"/>
    <mergeCell ref="AR55:AS55"/>
    <mergeCell ref="AO132:AO133"/>
    <mergeCell ref="AB80:AB81"/>
    <mergeCell ref="BO1:BP1"/>
    <mergeCell ref="BG131:BH131"/>
    <mergeCell ref="BN7:BN8"/>
    <mergeCell ref="BP7:BP8"/>
    <mergeCell ref="P56:P57"/>
    <mergeCell ref="R7:R8"/>
    <mergeCell ref="H56:H57"/>
    <mergeCell ref="D80:D81"/>
    <mergeCell ref="I99:BO99"/>
    <mergeCell ref="AP102:AP107"/>
    <mergeCell ref="A4:H5"/>
    <mergeCell ref="X131:Y131"/>
    <mergeCell ref="AL32:AL33"/>
    <mergeCell ref="S101:T101"/>
    <mergeCell ref="G80:G81"/>
    <mergeCell ref="BA102:BA107"/>
    <mergeCell ref="BI32:BI33"/>
    <mergeCell ref="AK56:AK57"/>
    <mergeCell ref="Q7:Q8"/>
    <mergeCell ref="AZ132:AZ133"/>
    <mergeCell ref="U102:U107"/>
    <mergeCell ref="AK32:AK33"/>
    <mergeCell ref="BK80:BK81"/>
    <mergeCell ref="BE80:BE81"/>
    <mergeCell ref="F80:F81"/>
    <mergeCell ref="M132:M133"/>
    <mergeCell ref="AT80:AT81"/>
    <mergeCell ref="BI102:BI107"/>
    <mergeCell ref="AM131:AN131"/>
    <mergeCell ref="B102:B107"/>
    <mergeCell ref="AC101:AD101"/>
    <mergeCell ref="BL31:BM31"/>
    <mergeCell ref="BL6:BM6"/>
    <mergeCell ref="BB55:BC55"/>
    <mergeCell ref="AY132:AY133"/>
    <mergeCell ref="BA132:BA133"/>
    <mergeCell ref="BF32:BF33"/>
    <mergeCell ref="A32:A33"/>
    <mergeCell ref="AA80:AA81"/>
    <mergeCell ref="H32:H33"/>
    <mergeCell ref="I100:BO100"/>
    <mergeCell ref="V56:V57"/>
    <mergeCell ref="AJ80:AJ81"/>
    <mergeCell ref="W102:W107"/>
    <mergeCell ref="M56:M57"/>
    <mergeCell ref="BG101:BH101"/>
    <mergeCell ref="AV32:AV33"/>
    <mergeCell ref="AO102:AO107"/>
    <mergeCell ref="S31:T31"/>
    <mergeCell ref="AM79:AN79"/>
    <mergeCell ref="I29:BO29"/>
    <mergeCell ref="I4:BO4"/>
    <mergeCell ref="BA7:BA8"/>
    <mergeCell ref="AQ56:AQ57"/>
    <mergeCell ref="AG80:AG81"/>
    <mergeCell ref="V102:V107"/>
    <mergeCell ref="A77:H78"/>
    <mergeCell ref="BO32:BO33"/>
    <mergeCell ref="AE102:AE107"/>
    <mergeCell ref="P7:P8"/>
    <mergeCell ref="I131:J131"/>
    <mergeCell ref="R32:R33"/>
    <mergeCell ref="AC79:AD79"/>
    <mergeCell ref="AH6:AI6"/>
    <mergeCell ref="AR6:AS6"/>
    <mergeCell ref="U132:U133"/>
    <mergeCell ref="BD80:BD81"/>
    <mergeCell ref="AW131:AX131"/>
    <mergeCell ref="BD7:BD8"/>
    <mergeCell ref="L80:L81"/>
    <mergeCell ref="B56:B57"/>
    <mergeCell ref="BF102:BF107"/>
    <mergeCell ref="F7:F8"/>
    <mergeCell ref="AZ102:AZ107"/>
    <mergeCell ref="A102:A107"/>
    <mergeCell ref="C102:C107"/>
    <mergeCell ref="BN32:BN33"/>
    <mergeCell ref="BP32:BP33"/>
    <mergeCell ref="Z32:Z33"/>
    <mergeCell ref="B132:B133"/>
    <mergeCell ref="U56:U57"/>
    <mergeCell ref="W56:W57"/>
    <mergeCell ref="AA7:AA8"/>
    <mergeCell ref="AH55:AI55"/>
    <mergeCell ref="AL132:AL133"/>
    <mergeCell ref="AU32:AU33"/>
    <mergeCell ref="BK7:BK8"/>
    <mergeCell ref="W132:W133"/>
    <mergeCell ref="N6:O6"/>
    <mergeCell ref="AP56:AP57"/>
    <mergeCell ref="AM101:AN101"/>
    <mergeCell ref="AB32:AB33"/>
    <mergeCell ref="BI132:BI133"/>
    <mergeCell ref="M80:M81"/>
    <mergeCell ref="BP102:BP107"/>
    <mergeCell ref="K102:K107"/>
    <mergeCell ref="E80:E81"/>
    <mergeCell ref="C7:C8"/>
    <mergeCell ref="E7:E8"/>
    <mergeCell ref="BF132:BF133"/>
    <mergeCell ref="AC31:AD31"/>
    <mergeCell ref="AW79:AX79"/>
    <mergeCell ref="S55:T55"/>
    <mergeCell ref="BA56:BA57"/>
    <mergeCell ref="Q32:Q33"/>
    <mergeCell ref="AQ80:AQ81"/>
    <mergeCell ref="AO7:AO8"/>
    <mergeCell ref="AQ7:AQ8"/>
    <mergeCell ref="A132:A133"/>
    <mergeCell ref="AF102:AF107"/>
    <mergeCell ref="AT32:AT33"/>
    <mergeCell ref="Z7:Z8"/>
    <mergeCell ref="I101:J101"/>
    <mergeCell ref="BE32:BE33"/>
    <mergeCell ref="F32:F33"/>
    <mergeCell ref="AK132:AK133"/>
    <mergeCell ref="A29:H30"/>
    <mergeCell ref="AE132:AE133"/>
    <mergeCell ref="BJ7:BJ8"/>
    <mergeCell ref="AZ56:AZ57"/>
    <mergeCell ref="BN80:BN81"/>
    <mergeCell ref="L56:L57"/>
    <mergeCell ref="AT102:AT107"/>
    <mergeCell ref="AL102:AL107"/>
    <mergeCell ref="I53:BO53"/>
    <mergeCell ref="AA32:AA33"/>
    <mergeCell ref="AW31:AX31"/>
    <mergeCell ref="BA80:BA81"/>
    <mergeCell ref="I130:BO130"/>
    <mergeCell ref="AM55:AN55"/>
    <mergeCell ref="I31:J31"/>
    <mergeCell ref="S79:T79"/>
    <mergeCell ref="I5:BO5"/>
    <mergeCell ref="I77:BP77"/>
    <mergeCell ref="AE56:AE57"/>
    <mergeCell ref="A99:H100"/>
    <mergeCell ref="AG56:AG57"/>
    <mergeCell ref="U80:U81"/>
    <mergeCell ref="AB132:AB133"/>
    <mergeCell ref="M7:M8"/>
    <mergeCell ref="BO102:BO107"/>
    <mergeCell ref="H102:H107"/>
    <mergeCell ref="BG79:BH79"/>
    <mergeCell ref="Q102:Q107"/>
    <mergeCell ref="AR101:AS101"/>
    <mergeCell ref="D7:D8"/>
    <mergeCell ref="BO56:BO57"/>
    <mergeCell ref="AG32:AG33"/>
    <mergeCell ref="BI80:BI81"/>
    <mergeCell ref="BN132:BN133"/>
    <mergeCell ref="B80:B81"/>
    <mergeCell ref="X6:Y6"/>
    <mergeCell ref="K132:K133"/>
    <mergeCell ref="AV102:AV107"/>
    <mergeCell ref="P32:P33"/>
    <mergeCell ref="AP80:AP81"/>
    <mergeCell ref="AP7:AP8"/>
    <mergeCell ref="AF7:AF8"/>
    <mergeCell ref="AF56:AF57"/>
    <mergeCell ref="AJ32:AJ33"/>
    <mergeCell ref="AU132:AU133"/>
    <mergeCell ref="P102:P107"/>
    <mergeCell ref="N79:O79"/>
    <mergeCell ref="W80:W81"/>
    <mergeCell ref="AF132:AF133"/>
    <mergeCell ref="BI7:BI8"/>
    <mergeCell ref="AY56:AY57"/>
    <mergeCell ref="AO80:AO81"/>
    <mergeCell ref="A56:A57"/>
    <mergeCell ref="K56:K57"/>
    <mergeCell ref="C56:C57"/>
    <mergeCell ref="BP132:BP133"/>
    <mergeCell ref="AK102:AK107"/>
    <mergeCell ref="AC55:AD55"/>
    <mergeCell ref="S131:T131"/>
    <mergeCell ref="C32:C33"/>
    <mergeCell ref="AY7:AY8"/>
    <mergeCell ref="AO56:AO57"/>
    <mergeCell ref="AE80:AE81"/>
    <mergeCell ref="I78:BP78"/>
    <mergeCell ref="R102:R107"/>
    <mergeCell ref="BD32:BD33"/>
    <mergeCell ref="L7:L8"/>
    <mergeCell ref="BB101:BC101"/>
    <mergeCell ref="AA132:AA133"/>
    <mergeCell ref="BP56:BP57"/>
    <mergeCell ref="BJ56:BJ57"/>
    <mergeCell ref="BF80:BF81"/>
    <mergeCell ref="AZ80:AZ81"/>
    <mergeCell ref="A80:A81"/>
    <mergeCell ref="C80:C81"/>
    <mergeCell ref="H132:H133"/>
    <mergeCell ref="AH131:AI131"/>
    <mergeCell ref="AG7:AG8"/>
    <mergeCell ref="BJ32:BJ33"/>
    <mergeCell ref="BG31:BH31"/>
    <mergeCell ref="M32:M33"/>
    <mergeCell ref="E32:E33"/>
    <mergeCell ref="BO3:BP3"/>
    <mergeCell ref="BG6:BH6"/>
    <mergeCell ref="AW55:AX55"/>
    <mergeCell ref="AT132:AT133"/>
    <mergeCell ref="AV132:AV133"/>
    <mergeCell ref="I79:J79"/>
    <mergeCell ref="V80:V81"/>
    <mergeCell ref="Q56:Q57"/>
    <mergeCell ref="AJ132:AJ133"/>
    <mergeCell ref="BO132:BO133"/>
    <mergeCell ref="AO32:AO33"/>
    <mergeCell ref="E102:E107"/>
    <mergeCell ref="AQ32:AQ33"/>
    <mergeCell ref="X101:Y101"/>
    <mergeCell ref="Q132:Q133"/>
    <mergeCell ref="AL56:AL57"/>
    <mergeCell ref="AZ7:AZ8"/>
    <mergeCell ref="AB7:AB8"/>
    <mergeCell ref="BB31:BC31"/>
    <mergeCell ref="BL79:BM79"/>
    <mergeCell ref="I55:J55"/>
    <mergeCell ref="BE132:BE133"/>
    <mergeCell ref="Z102:Z107"/>
    <mergeCell ref="K7:K8"/>
    <mergeCell ref="X79:Y79"/>
    <mergeCell ref="G32:G33"/>
    <mergeCell ref="AP32:AP33"/>
    <mergeCell ref="AM31:AN31"/>
    <mergeCell ref="AC6:AD6"/>
    <mergeCell ref="AM6:AN6"/>
    <mergeCell ref="P132:P133"/>
    <mergeCell ref="R132:R133"/>
    <mergeCell ref="BI56:BI57"/>
    <mergeCell ref="BJ102:BJ107"/>
    <mergeCell ref="AY80:AY81"/>
    <mergeCell ref="AR131:AS131"/>
    <mergeCell ref="BN102:BN107"/>
    <mergeCell ref="G102:G107"/>
    <mergeCell ref="AH101:AI101"/>
    <mergeCell ref="A7:A8"/>
    <mergeCell ref="AU102:AU107"/>
    <mergeCell ref="AC131:AD131"/>
    <mergeCell ref="BK32:BK33"/>
    <mergeCell ref="D32:D33"/>
    <mergeCell ref="AF80:AF81"/>
    <mergeCell ref="A53:H54"/>
    <mergeCell ref="AB102:AB107"/>
    <mergeCell ref="R56:R57"/>
    <mergeCell ref="V7:V8"/>
    <mergeCell ref="BL101:BM101"/>
    <mergeCell ref="BA32:BA33"/>
    <mergeCell ref="AR79:AS79"/>
    <mergeCell ref="AG132:AG133"/>
    <mergeCell ref="BP80:BP81"/>
    <mergeCell ref="AT56:AT57"/>
    <mergeCell ref="BD56:BD57"/>
    <mergeCell ref="BF7:BF8"/>
    <mergeCell ref="BF56:BF57"/>
    <mergeCell ref="AV56:AV57"/>
    <mergeCell ref="K80:K81"/>
    <mergeCell ref="I6:J6"/>
    <mergeCell ref="BL131:BM131"/>
    <mergeCell ref="A1:B3"/>
    <mergeCell ref="N131:O131"/>
    <mergeCell ref="U7:U8"/>
    <mergeCell ref="W32:W33"/>
    <mergeCell ref="W7:W8"/>
    <mergeCell ref="BG55:BH55"/>
    <mergeCell ref="I30:BO30"/>
    <mergeCell ref="BD132:BD133"/>
    <mergeCell ref="AW6:AX6"/>
    <mergeCell ref="BO80:BO81"/>
    <mergeCell ref="H80:H81"/>
    <mergeCell ref="AA56:AA57"/>
    <mergeCell ref="I54:BO54"/>
    <mergeCell ref="Q80:Q81"/>
    <mergeCell ref="BK102:BK107"/>
    <mergeCell ref="D102:D107"/>
    <mergeCell ref="BE102:BE107"/>
    <mergeCell ref="F102:F107"/>
    <mergeCell ref="B7:B8"/>
    <mergeCell ref="X31:Y31"/>
    <mergeCell ref="N55:O55"/>
    <mergeCell ref="BJ132:BJ133"/>
    <mergeCell ref="E132:E133"/>
    <mergeCell ref="G132:G133"/>
    <mergeCell ref="L32:L33"/>
    <mergeCell ref="AL80:AL81"/>
    <mergeCell ref="AJ7:AJ8"/>
    <mergeCell ref="Z56:Z57"/>
    <mergeCell ref="AL7:AL8"/>
    <mergeCell ref="AB56:AB57"/>
    <mergeCell ref="AA102:AA107"/>
    <mergeCell ref="AQ132:AQ133"/>
    <mergeCell ref="L102:L107"/>
    <mergeCell ref="AZ32:AZ33"/>
    <mergeCell ref="Z132:Z133"/>
    <mergeCell ref="S6:T6"/>
    <mergeCell ref="BE7:BE8"/>
    <mergeCell ref="AU56:AU57"/>
    <mergeCell ref="BB131:BC131"/>
    <mergeCell ref="AK80:AK81"/>
    <mergeCell ref="E56:E57"/>
    <mergeCell ref="AE32:AE33"/>
    <mergeCell ref="G56:G57"/>
    <mergeCell ref="AG102:AG107"/>
    <mergeCell ref="AR31:AS31"/>
    <mergeCell ref="AV80:AV81"/>
    <mergeCell ref="P80:P81"/>
    <mergeCell ref="D56:D57"/>
    <mergeCell ref="BO2:BP2"/>
    <mergeCell ref="F56:F57"/>
    <mergeCell ref="H7:H8"/>
    <mergeCell ref="BD102:BD107"/>
    <mergeCell ref="AH31:AI31"/>
    <mergeCell ref="BB79:BC79"/>
    <mergeCell ref="X55:Y55"/>
    <mergeCell ref="BN56:BN57"/>
    <mergeCell ref="V32:V33"/>
    <mergeCell ref="D132:D133"/>
    <mergeCell ref="F132:F133"/>
    <mergeCell ref="AK7:AK8"/>
    <mergeCell ref="AE7:AE8"/>
  </mergeCells>
  <pageMargins left="0.7" right="0.7" top="0.75" bottom="0.75" header="0.3" footer="0.3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0"/>
  <sheetViews>
    <sheetView zoomScale="112" zoomScaleNormal="112" workbookViewId="0">
      <pane xSplit="5" ySplit="5" topLeftCell="I6" activePane="bottomRight" state="frozen"/>
      <selection pane="topRight" activeCell="F1" sqref="F1"/>
      <selection pane="bottomLeft" activeCell="A6" sqref="A6"/>
      <selection pane="bottomRight" activeCell="A6" sqref="A6"/>
    </sheetView>
  </sheetViews>
  <sheetFormatPr baseColWidth="10" defaultRowHeight="15"/>
  <cols>
    <col width="26.7109375" customWidth="1" style="78" min="1" max="1"/>
    <col width="25.5703125" customWidth="1" style="78" min="2" max="2"/>
    <col width="24.7109375" customWidth="1" style="78" min="3" max="3"/>
    <col width="17.42578125" customWidth="1" style="15" min="4" max="4"/>
    <col width="27.140625" customWidth="1" style="78" min="5" max="5"/>
    <col width="18.5703125" customWidth="1" style="78" min="6" max="6"/>
    <col width="15.42578125" customWidth="1" style="78" min="7" max="7"/>
    <col width="16.85546875" customWidth="1" style="78" min="8" max="8"/>
    <col width="20.28515625" customWidth="1" style="26" min="9" max="9"/>
    <col width="14" customWidth="1" style="78" min="10" max="32"/>
  </cols>
  <sheetData>
    <row r="1">
      <c r="A1" s="97" t="n"/>
      <c r="B1" s="186" t="n"/>
      <c r="C1" s="207" t="inlineStr">
        <is>
          <t xml:space="preserve">MATRIZ DE INDICADORES </t>
        </is>
      </c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6" t="n"/>
      <c r="AE1" s="208" t="inlineStr">
        <is>
          <t>Fecha: 02/02/2026</t>
        </is>
      </c>
      <c r="AF1" s="188" t="n"/>
    </row>
    <row r="2">
      <c r="A2" s="190" t="n"/>
      <c r="B2" s="191" t="n"/>
      <c r="C2" s="190" t="n"/>
      <c r="AD2" s="191" t="n"/>
      <c r="AE2" s="120" t="inlineStr">
        <is>
          <t>VERSION: 1</t>
        </is>
      </c>
      <c r="AF2" s="188" t="n"/>
    </row>
    <row r="3" ht="15.75" customHeight="1" s="78">
      <c r="A3" s="193" t="n"/>
      <c r="B3" s="195" t="n"/>
      <c r="C3" s="193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194" t="n"/>
      <c r="N3" s="194" t="n"/>
      <c r="O3" s="194" t="n"/>
      <c r="P3" s="194" t="n"/>
      <c r="Q3" s="194" t="n"/>
      <c r="R3" s="194" t="n"/>
      <c r="S3" s="194" t="n"/>
      <c r="T3" s="194" t="n"/>
      <c r="U3" s="194" t="n"/>
      <c r="V3" s="194" t="n"/>
      <c r="W3" s="194" t="n"/>
      <c r="X3" s="194" t="n"/>
      <c r="Y3" s="194" t="n"/>
      <c r="Z3" s="194" t="n"/>
      <c r="AA3" s="194" t="n"/>
      <c r="AB3" s="194" t="n"/>
      <c r="AC3" s="194" t="n"/>
      <c r="AD3" s="195" t="n"/>
      <c r="AE3" s="120" t="inlineStr">
        <is>
          <t>CODIGO: FG-FOR-SST-104</t>
        </is>
      </c>
      <c r="AF3" s="188" t="n"/>
    </row>
    <row r="4" ht="15" customHeight="1" s="78">
      <c r="A4" s="173" t="inlineStr">
        <is>
          <t>INDICADORES POLÍTICA FG-FOR-SST-104</t>
        </is>
      </c>
      <c r="I4" s="191" t="n"/>
      <c r="J4" s="99" t="inlineStr">
        <is>
          <t xml:space="preserve">RESULTADOS </t>
        </is>
      </c>
    </row>
    <row r="5" ht="15.75" customHeight="1" s="78">
      <c r="I5" s="191" t="n"/>
      <c r="J5" s="101" t="inlineStr">
        <is>
          <t>AÑO: 2026</t>
        </is>
      </c>
      <c r="K5" s="194" t="n"/>
      <c r="L5" s="194" t="n"/>
      <c r="M5" s="194" t="n"/>
      <c r="N5" s="194" t="n"/>
      <c r="O5" s="194" t="n"/>
      <c r="P5" s="194" t="n"/>
      <c r="Q5" s="194" t="n"/>
      <c r="R5" s="194" t="n"/>
      <c r="S5" s="194" t="n"/>
      <c r="T5" s="194" t="n"/>
      <c r="U5" s="194" t="n"/>
      <c r="V5" s="194" t="n"/>
      <c r="W5" s="194" t="n"/>
      <c r="X5" s="194" t="n"/>
      <c r="Y5" s="194" t="n"/>
      <c r="Z5" s="194" t="n"/>
      <c r="AA5" s="194" t="n"/>
      <c r="AB5" s="194" t="n"/>
      <c r="AC5" s="194" t="n"/>
      <c r="AD5" s="194" t="n"/>
      <c r="AE5" s="194" t="n"/>
      <c r="AF5" s="194" t="n"/>
    </row>
    <row r="6" ht="22.5" customHeight="1" s="78">
      <c r="A6" s="32" t="inlineStr">
        <is>
          <t>OBJETIVO</t>
        </is>
      </c>
      <c r="B6" s="32" t="inlineStr">
        <is>
          <t>DEFINICION DEL INDICADOR</t>
        </is>
      </c>
      <c r="C6" s="32" t="inlineStr">
        <is>
          <t>INTERPRETACION</t>
        </is>
      </c>
      <c r="D6" s="32" t="inlineStr">
        <is>
          <t>LIMITE DEL INDICADOR</t>
        </is>
      </c>
      <c r="E6" s="32" t="inlineStr">
        <is>
          <t>METODO DE CALCULO Y/O VERIFICACION</t>
        </is>
      </c>
      <c r="F6" s="32" t="inlineStr">
        <is>
          <t>FUENTE DE INFORMACION</t>
        </is>
      </c>
      <c r="G6" s="32" t="inlineStr">
        <is>
          <t>PERIODICIDAD</t>
        </is>
      </c>
      <c r="H6" s="32" t="inlineStr">
        <is>
          <t>RESPONSABLE</t>
        </is>
      </c>
      <c r="I6" s="32" t="inlineStr">
        <is>
          <t>COMUNICARLO A :</t>
        </is>
      </c>
      <c r="J6" s="32" t="inlineStr">
        <is>
          <t>ENERO</t>
        </is>
      </c>
      <c r="K6" s="32" t="inlineStr">
        <is>
          <t>CUMPLIMIENTO (SI/NO)</t>
        </is>
      </c>
      <c r="L6" s="32" t="inlineStr">
        <is>
          <t>FEBRERO</t>
        </is>
      </c>
      <c r="M6" s="32" t="inlineStr">
        <is>
          <t>CUMPLIMIENTO (SI/NO)</t>
        </is>
      </c>
      <c r="N6" s="32" t="inlineStr">
        <is>
          <t>MARZO</t>
        </is>
      </c>
      <c r="O6" s="32" t="inlineStr">
        <is>
          <t>CUMPLIMIENTO (SI/NO)</t>
        </is>
      </c>
      <c r="P6" s="32" t="inlineStr">
        <is>
          <t>ABRIL</t>
        </is>
      </c>
      <c r="Q6" s="32" t="inlineStr">
        <is>
          <t>CUMPLIMIENTO (SI/NO)</t>
        </is>
      </c>
      <c r="R6" s="32" t="inlineStr">
        <is>
          <t>MAYO</t>
        </is>
      </c>
      <c r="S6" s="32" t="inlineStr">
        <is>
          <t>CUMPLIMIENTO (SI/NO)</t>
        </is>
      </c>
      <c r="T6" s="32" t="inlineStr">
        <is>
          <t>JUNIO</t>
        </is>
      </c>
      <c r="U6" s="32" t="inlineStr">
        <is>
          <t>CUMPLIMIENTO (SI/NO)</t>
        </is>
      </c>
      <c r="V6" s="32" t="inlineStr">
        <is>
          <t>JULIO</t>
        </is>
      </c>
      <c r="W6" s="32" t="inlineStr">
        <is>
          <t>CUMPLIMIENTO (SI/NO)</t>
        </is>
      </c>
      <c r="X6" s="32" t="inlineStr">
        <is>
          <t>AGOSTO</t>
        </is>
      </c>
      <c r="Y6" s="32" t="inlineStr">
        <is>
          <t>CUMPLIMIENTO (SI/NO)</t>
        </is>
      </c>
      <c r="Z6" s="32" t="inlineStr">
        <is>
          <t>SEPTIEMBRE</t>
        </is>
      </c>
      <c r="AA6" s="32" t="inlineStr">
        <is>
          <t>CUMPLIMIENTO (SI/NO)</t>
        </is>
      </c>
      <c r="AB6" s="32" t="inlineStr">
        <is>
          <t>OCTUBRE</t>
        </is>
      </c>
      <c r="AC6" s="32" t="inlineStr">
        <is>
          <t>CUMPLIMIENTO (SI/NO)</t>
        </is>
      </c>
      <c r="AD6" s="32" t="inlineStr">
        <is>
          <t>NOVIEMBRE</t>
        </is>
      </c>
      <c r="AE6" s="32" t="inlineStr">
        <is>
          <t>DICIEMBRE</t>
        </is>
      </c>
      <c r="AF6" s="32" t="inlineStr">
        <is>
          <t>CUMPLIMIENTO (SI/NO)</t>
        </is>
      </c>
    </row>
    <row r="7" ht="63" customFormat="1" customHeight="1" s="73">
      <c r="A7" s="131" t="inlineStr">
        <is>
          <t xml:space="preserve"> Identificar los peligros, evaluar y valorar los riesgos y establecer los respectivos controles.</t>
        </is>
      </c>
      <c r="B7" s="128" t="inlineStr">
        <is>
          <t>MÉTODO PARA LA IDENTIFICACION DE PELIGROS Y EVALUACION DE RIESGOS</t>
        </is>
      </c>
      <c r="C7" s="128" t="inlineStr">
        <is>
          <t>Establece el mecanismo que la organización usará para la IPEVR</t>
        </is>
      </c>
      <c r="D7" s="128" t="inlineStr">
        <is>
          <t>SI</t>
        </is>
      </c>
      <c r="E7" s="130" t="inlineStr">
        <is>
          <t>La  organización estableció una  metodología para la IPEVR (si o no)</t>
        </is>
      </c>
      <c r="F7" s="130" t="inlineStr">
        <is>
          <t>Elaboración de procedimiento para IPEVR</t>
        </is>
      </c>
      <c r="G7" s="131" t="inlineStr">
        <is>
          <t>ANUAL</t>
        </is>
      </c>
      <c r="H7" s="128" t="inlineStr">
        <is>
          <t>Área SST</t>
        </is>
      </c>
      <c r="I7" s="49" t="inlineStr">
        <is>
          <t>Alta gerencia, COPASST/VIGÍA, CCL, brigadistas, área SST.</t>
        </is>
      </c>
      <c r="J7" s="105" t="n"/>
      <c r="K7" s="105" t="n"/>
      <c r="L7" s="105" t="n"/>
      <c r="M7" s="105" t="n"/>
      <c r="N7" s="105" t="n"/>
      <c r="O7" s="105" t="n"/>
      <c r="P7" s="105" t="n"/>
      <c r="Q7" s="105" t="n"/>
      <c r="R7" s="105" t="n"/>
      <c r="S7" s="105" t="n"/>
      <c r="T7" s="105" t="n"/>
      <c r="U7" s="105" t="n"/>
      <c r="V7" s="105" t="n"/>
      <c r="W7" s="105" t="n"/>
      <c r="X7" s="105" t="n"/>
      <c r="Y7" s="105" t="n"/>
      <c r="Z7" s="105" t="n"/>
      <c r="AA7" s="105" t="n"/>
      <c r="AB7" s="105" t="n"/>
      <c r="AC7" s="105" t="n"/>
      <c r="AD7" s="105" t="n"/>
      <c r="AE7" s="115" t="inlineStr">
        <is>
          <t>SI</t>
        </is>
      </c>
      <c r="AF7" s="115" t="inlineStr">
        <is>
          <t>SI</t>
        </is>
      </c>
    </row>
    <row r="8" ht="68.25" customFormat="1" customHeight="1" s="73">
      <c r="A8" s="189" t="n"/>
      <c r="B8" s="128" t="inlineStr">
        <is>
          <t>INTERVENCION DE PELIGROS IDENTIFICADOS Y LOS RIESGOS PRIORIZADOS</t>
        </is>
      </c>
      <c r="C8" s="128" t="inlineStr">
        <is>
          <t>Evalúa el grado de gestión para minimizar el riesgo</t>
        </is>
      </c>
      <c r="D8" s="129" t="n">
        <v>0.8</v>
      </c>
      <c r="E8" s="128" t="inlineStr">
        <is>
          <t>(# de peligros intervenidos / # de peligros identificados) X 100%</t>
        </is>
      </c>
      <c r="F8" s="130" t="inlineStr">
        <is>
          <t>Matriz IPEVR, inspecciones, investigaciones de AT y EL, reportes de actos y condiciones inseguras, auditorías.</t>
        </is>
      </c>
      <c r="G8" s="131" t="inlineStr">
        <is>
          <t>ANUAL</t>
        </is>
      </c>
      <c r="H8" s="128" t="inlineStr">
        <is>
          <t>Área SST, COPASST o VIGÍA</t>
        </is>
      </c>
      <c r="I8" s="49" t="inlineStr">
        <is>
          <t>Alta gerencia, área SST, COPASST o VIGÍA, CCL, brigadistas, trabajadores</t>
        </is>
      </c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123">
        <f>5/5*100%</f>
        <v/>
      </c>
      <c r="AF8" s="111" t="inlineStr">
        <is>
          <t>SI</t>
        </is>
      </c>
    </row>
    <row r="9" ht="69" customFormat="1" customHeight="1" s="73">
      <c r="A9" s="192" t="n"/>
      <c r="B9" s="128" t="inlineStr">
        <is>
          <t>ACCIONES CORRECTIVAS Y PREVENTIVAS</t>
        </is>
      </c>
      <c r="C9" s="128" t="inlineStr">
        <is>
          <t>Mide el grado de medidas  que se toman con los hallazgos.</t>
        </is>
      </c>
      <c r="D9" s="129" t="n">
        <v>0.8</v>
      </c>
      <c r="E9" s="128" t="inlineStr">
        <is>
          <t>(# de acciones correctivas y preventivas cerradas / # de acciones correctivas y preventivas detectadas) X 100%</t>
        </is>
      </c>
      <c r="F9" s="130" t="inlineStr">
        <is>
          <t>Matriz IPEVR, inspecciones, investigaciones de AT y EL, reportes de actos y condiciones inseguras, auditorías.</t>
        </is>
      </c>
      <c r="G9" s="131" t="inlineStr">
        <is>
          <t>ANUAL</t>
        </is>
      </c>
      <c r="H9" s="128" t="inlineStr">
        <is>
          <t>Alta gerencia, área SST, COPASST o VIGÍA</t>
        </is>
      </c>
      <c r="I9" s="49" t="inlineStr">
        <is>
          <t>Alta gerencia, área SST, COPASST o VIGÍA, CCL, brigadistas, trabajadores</t>
        </is>
      </c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  <c r="AB9" s="114" t="n"/>
      <c r="AC9" s="114" t="n"/>
      <c r="AD9" s="114" t="n"/>
      <c r="AE9" s="123">
        <f>6/7*100%</f>
        <v/>
      </c>
      <c r="AF9" s="111" t="inlineStr">
        <is>
          <t>SI</t>
        </is>
      </c>
    </row>
    <row r="10" ht="77.25" customFormat="1" customHeight="1" s="73">
      <c r="A10" s="44" t="inlineStr">
        <is>
          <t xml:space="preserve"> Proteger la seguridad y salud de todos los trabajadores, mediante la mejora continua del
Sistema de Gestión de la Seguridad y Salud en el Trabajo (SG-SST) en la empresa</t>
        </is>
      </c>
      <c r="B10" s="128" t="inlineStr">
        <is>
          <t>ELABORACIÓN Y SEGUIMIENTO A INDICADORES DEL SG-SST</t>
        </is>
      </c>
      <c r="C10" s="128" t="inlineStr">
        <is>
          <t>Mide el grado de cumplimiento de los indicadores de estructura, proceso y resultado establecidos en el Decreto 1072/2015, la Resolucion 0312/2019 y demás que la empresa considere</t>
        </is>
      </c>
      <c r="D10" s="129" t="n">
        <v>0.8</v>
      </c>
      <c r="E10" s="130" t="inlineStr">
        <is>
          <t>(# de indicadores que cumplieron la meta / # de indicadores establecidos) X 100%</t>
        </is>
      </c>
      <c r="F10" s="130" t="inlineStr">
        <is>
          <t>Matriz de indicadores del SG-SST</t>
        </is>
      </c>
      <c r="G10" s="197" t="inlineStr">
        <is>
          <t>ANUAL</t>
        </is>
      </c>
      <c r="H10" s="128" t="inlineStr">
        <is>
          <t>Área SST, COPASST o VIGÍA</t>
        </is>
      </c>
      <c r="I10" s="49" t="inlineStr">
        <is>
          <t>Alta gerencia, área SST, COPASST o VIGÍA, CCL, brigadistas</t>
        </is>
      </c>
      <c r="J10" s="202" t="n"/>
      <c r="K10" s="202" t="n"/>
      <c r="L10" s="202" t="n"/>
      <c r="M10" s="202" t="n"/>
      <c r="N10" s="202" t="n"/>
      <c r="O10" s="202" t="n"/>
      <c r="P10" s="202" t="n"/>
      <c r="Q10" s="202" t="n"/>
      <c r="R10" s="202" t="n"/>
      <c r="S10" s="202" t="n"/>
      <c r="T10" s="202" t="n"/>
      <c r="U10" s="202" t="n"/>
      <c r="V10" s="202" t="n"/>
      <c r="W10" s="202" t="n"/>
      <c r="X10" s="202" t="n"/>
      <c r="Y10" s="202" t="n"/>
      <c r="Z10" s="202" t="n"/>
      <c r="AA10" s="202" t="n"/>
      <c r="AB10" s="202" t="n"/>
      <c r="AC10" s="202" t="n"/>
      <c r="AD10" s="202" t="n"/>
      <c r="AE10" s="96">
        <f>40/45*100%</f>
        <v/>
      </c>
      <c r="AF10" s="115" t="inlineStr">
        <is>
          <t>SI</t>
        </is>
      </c>
    </row>
    <row r="11" ht="77.25" customFormat="1" customHeight="1" s="73">
      <c r="A11" s="128" t="inlineStr">
        <is>
          <t>Cumplir la normatividad nacional vigente aplicable en materia de riesgos laborales.</t>
        </is>
      </c>
      <c r="B11" s="128" t="inlineStr">
        <is>
          <t>REQUISITOS LEGALES</t>
        </is>
      </c>
      <c r="C11" s="128" t="inlineStr">
        <is>
          <t xml:space="preserve">Medir el cumplimiento de los requisitos legales aplicables a la organización </t>
        </is>
      </c>
      <c r="D11" s="129" t="n">
        <v>0.8</v>
      </c>
      <c r="E11" s="128" t="inlineStr">
        <is>
          <t>(# requisitos cumplidos / # de requisitos identificados en la matriz legal) X 100%</t>
        </is>
      </c>
      <c r="F11" s="130" t="inlineStr">
        <is>
          <t>Matriz de requisitos legales.</t>
        </is>
      </c>
      <c r="G11" s="131" t="inlineStr">
        <is>
          <t>ANUAL</t>
        </is>
      </c>
      <c r="H11" s="128" t="inlineStr">
        <is>
          <t>Alta gerencia, área SST,  COPASST</t>
        </is>
      </c>
      <c r="I11" s="49" t="inlineStr">
        <is>
          <t xml:space="preserve">Alta gerencia, área SST, COPASST o VIGÍA, CCL, brigadistas, </t>
        </is>
      </c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  <c r="AB11" s="114" t="n"/>
      <c r="AC11" s="114" t="n"/>
      <c r="AD11" s="114" t="n"/>
      <c r="AE11" s="123">
        <f>20/20*100%</f>
        <v/>
      </c>
      <c r="AF11" s="111" t="inlineStr">
        <is>
          <t>SI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9">
    <mergeCell ref="AE3:AF3"/>
    <mergeCell ref="A7:A9"/>
    <mergeCell ref="AE2:AF2"/>
    <mergeCell ref="J4:AF4"/>
    <mergeCell ref="AE1:AF1"/>
    <mergeCell ref="A4:I5"/>
    <mergeCell ref="A1:B3"/>
    <mergeCell ref="J5:AF5"/>
    <mergeCell ref="C1:AD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0"/>
  <sheetViews>
    <sheetView topLeftCell="A4" zoomScale="112" zoomScaleNormal="112" workbookViewId="0">
      <pane xSplit="5" ySplit="2" topLeftCell="F6" activePane="bottomRight" state="frozen"/>
      <selection activeCell="A4" sqref="A4"/>
      <selection pane="topRight" activeCell="F4" sqref="F4"/>
      <selection pane="bottomLeft" activeCell="A6" sqref="A6"/>
      <selection pane="bottomRight" activeCell="A6" sqref="A6"/>
    </sheetView>
  </sheetViews>
  <sheetFormatPr baseColWidth="10" defaultRowHeight="15"/>
  <cols>
    <col width="26.7109375" customWidth="1" style="78" min="1" max="1"/>
    <col width="25.5703125" customWidth="1" style="78" min="2" max="2"/>
    <col width="24.7109375" customWidth="1" style="78" min="3" max="3"/>
    <col width="17.42578125" customWidth="1" style="15" min="4" max="4"/>
    <col width="27.140625" customWidth="1" style="78" min="5" max="5"/>
    <col width="18.5703125" customWidth="1" style="78" min="6" max="6"/>
    <col width="15.42578125" customWidth="1" style="78" min="7" max="7"/>
    <col width="16.85546875" customWidth="1" style="78" min="8" max="8"/>
    <col width="20.28515625" customWidth="1" style="26" min="9" max="9"/>
    <col width="14.5703125" customWidth="1" style="78" min="10" max="32"/>
  </cols>
  <sheetData>
    <row r="1">
      <c r="A1" s="183" t="n"/>
      <c r="B1" s="186" t="n"/>
      <c r="C1" s="207" t="inlineStr">
        <is>
          <t xml:space="preserve">MATRIZ DE INDICADORES </t>
        </is>
      </c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6" t="n"/>
      <c r="AE1" s="208" t="inlineStr">
        <is>
          <t>Fecha: 02/02/2026</t>
        </is>
      </c>
      <c r="AF1" s="188" t="n"/>
    </row>
    <row r="2" ht="13.5" customHeight="1" s="78">
      <c r="A2" s="190" t="n"/>
      <c r="B2" s="191" t="n"/>
      <c r="C2" s="190" t="n"/>
      <c r="AD2" s="191" t="n"/>
      <c r="AE2" s="120" t="inlineStr">
        <is>
          <t>VERSION: 1</t>
        </is>
      </c>
      <c r="AF2" s="188" t="n"/>
    </row>
    <row r="3" ht="15" customHeight="1" s="78">
      <c r="A3" s="193" t="n"/>
      <c r="B3" s="195" t="n"/>
      <c r="C3" s="193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194" t="n"/>
      <c r="N3" s="194" t="n"/>
      <c r="O3" s="194" t="n"/>
      <c r="P3" s="194" t="n"/>
      <c r="Q3" s="194" t="n"/>
      <c r="R3" s="194" t="n"/>
      <c r="S3" s="194" t="n"/>
      <c r="T3" s="194" t="n"/>
      <c r="U3" s="194" t="n"/>
      <c r="V3" s="194" t="n"/>
      <c r="W3" s="194" t="n"/>
      <c r="X3" s="194" t="n"/>
      <c r="Y3" s="194" t="n"/>
      <c r="Z3" s="194" t="n"/>
      <c r="AA3" s="194" t="n"/>
      <c r="AB3" s="194" t="n"/>
      <c r="AC3" s="194" t="n"/>
      <c r="AD3" s="195" t="n"/>
      <c r="AE3" s="120" t="inlineStr">
        <is>
          <t>CODIGO: FG-FOR-SST-104</t>
        </is>
      </c>
      <c r="AF3" s="188" t="n"/>
    </row>
    <row r="4" ht="15" customHeight="1" s="78">
      <c r="A4" s="203" t="inlineStr">
        <is>
          <t>OBJETIVOS DEL SG-FG-FOR-SST-104</t>
        </is>
      </c>
      <c r="I4" s="191" t="n"/>
      <c r="J4" s="204" t="inlineStr">
        <is>
          <t xml:space="preserve">RESULTADOS </t>
        </is>
      </c>
    </row>
    <row r="5" ht="15.75" customHeight="1" s="78">
      <c r="I5" s="191" t="n"/>
      <c r="J5" s="101" t="inlineStr">
        <is>
          <t>AÑO: 2026</t>
        </is>
      </c>
      <c r="K5" s="194" t="n"/>
      <c r="L5" s="194" t="n"/>
      <c r="M5" s="194" t="n"/>
      <c r="N5" s="194" t="n"/>
      <c r="O5" s="194" t="n"/>
      <c r="P5" s="194" t="n"/>
      <c r="Q5" s="194" t="n"/>
      <c r="R5" s="194" t="n"/>
      <c r="S5" s="194" t="n"/>
      <c r="T5" s="194" t="n"/>
      <c r="U5" s="194" t="n"/>
      <c r="V5" s="194" t="n"/>
      <c r="W5" s="194" t="n"/>
      <c r="X5" s="194" t="n"/>
      <c r="Y5" s="194" t="n"/>
      <c r="Z5" s="194" t="n"/>
      <c r="AA5" s="194" t="n"/>
      <c r="AB5" s="194" t="n"/>
      <c r="AC5" s="194" t="n"/>
      <c r="AD5" s="194" t="n"/>
      <c r="AE5" s="194" t="n"/>
      <c r="AF5" s="194" t="n"/>
    </row>
    <row r="6" ht="22.5" customHeight="1" s="78">
      <c r="A6" s="32" t="inlineStr">
        <is>
          <t>OBJETIVO</t>
        </is>
      </c>
      <c r="B6" s="32" t="inlineStr">
        <is>
          <t>DEFINICION DEL INDICADOR</t>
        </is>
      </c>
      <c r="C6" s="32" t="inlineStr">
        <is>
          <t>INTERPRETACION</t>
        </is>
      </c>
      <c r="D6" s="32" t="inlineStr">
        <is>
          <t>LIMITE DEL INDICADOR</t>
        </is>
      </c>
      <c r="E6" s="32" t="inlineStr">
        <is>
          <t>METODO DE CALCULO Y/O VERIFICACION</t>
        </is>
      </c>
      <c r="F6" s="32" t="inlineStr">
        <is>
          <t>FUENTE DE INFORMACION</t>
        </is>
      </c>
      <c r="G6" s="32" t="inlineStr">
        <is>
          <t>PERIODICIDAD</t>
        </is>
      </c>
      <c r="H6" s="32" t="inlineStr">
        <is>
          <t>RESPONSABLE</t>
        </is>
      </c>
      <c r="I6" s="32" t="inlineStr">
        <is>
          <t>COMUNICARLO A :</t>
        </is>
      </c>
      <c r="J6" s="32" t="inlineStr">
        <is>
          <t>ENERO</t>
        </is>
      </c>
      <c r="K6" s="32" t="inlineStr">
        <is>
          <t>CUMPLIMIENTO (SI/NO)</t>
        </is>
      </c>
      <c r="L6" s="32" t="inlineStr">
        <is>
          <t>FEBRERO</t>
        </is>
      </c>
      <c r="M6" s="32" t="inlineStr">
        <is>
          <t>CUMPLIMIENTO (SI/NO)</t>
        </is>
      </c>
      <c r="N6" s="32" t="inlineStr">
        <is>
          <t>MARZO</t>
        </is>
      </c>
      <c r="O6" s="32" t="inlineStr">
        <is>
          <t>CUMPLIMIENTO (SI/NO)</t>
        </is>
      </c>
      <c r="P6" s="32" t="inlineStr">
        <is>
          <t>ABRIL</t>
        </is>
      </c>
      <c r="Q6" s="32" t="inlineStr">
        <is>
          <t>CUMPLIMIENTO (SI/NO)</t>
        </is>
      </c>
      <c r="R6" s="32" t="inlineStr">
        <is>
          <t>MAYO</t>
        </is>
      </c>
      <c r="S6" s="32" t="inlineStr">
        <is>
          <t>CUMPLIMIENTO (SI/NO)</t>
        </is>
      </c>
      <c r="T6" s="32" t="inlineStr">
        <is>
          <t>JUNIO</t>
        </is>
      </c>
      <c r="U6" s="32" t="inlineStr">
        <is>
          <t>CUMPLIMIENTO (SI/NO)</t>
        </is>
      </c>
      <c r="V6" s="32" t="inlineStr">
        <is>
          <t>JULIO</t>
        </is>
      </c>
      <c r="W6" s="32" t="inlineStr">
        <is>
          <t>CUMPLIMIENTO (SI/NO)</t>
        </is>
      </c>
      <c r="X6" s="32" t="inlineStr">
        <is>
          <t>AGOSTO</t>
        </is>
      </c>
      <c r="Y6" s="32" t="inlineStr">
        <is>
          <t>CUMPLIMIENTO (SI/NO)</t>
        </is>
      </c>
      <c r="Z6" s="32" t="inlineStr">
        <is>
          <t>SEPTIEMBRE</t>
        </is>
      </c>
      <c r="AA6" s="32" t="inlineStr">
        <is>
          <t>CUMPLIMIENTO (SI/NO)</t>
        </is>
      </c>
      <c r="AB6" s="32" t="inlineStr">
        <is>
          <t>OCTUBRE</t>
        </is>
      </c>
      <c r="AC6" s="32" t="inlineStr">
        <is>
          <t>CUMPLIMIENTO (SI/NO)</t>
        </is>
      </c>
      <c r="AD6" s="32" t="inlineStr">
        <is>
          <t>NOVIEMBRE</t>
        </is>
      </c>
      <c r="AE6" s="32" t="inlineStr">
        <is>
          <t>DICIEMBRE</t>
        </is>
      </c>
      <c r="AF6" s="32" t="inlineStr">
        <is>
          <t>CUMPLIMIENTO (SI/NO)</t>
        </is>
      </c>
    </row>
    <row r="7" ht="77.25" customFormat="1" customHeight="1" s="73">
      <c r="A7" s="128" t="inlineStr">
        <is>
          <t>Realizar mínimo 1 auditoría anual y planificarla con la participación del COPASST</t>
        </is>
      </c>
      <c r="B7" s="128" t="inlineStr">
        <is>
          <t>AUDITORÍA</t>
        </is>
      </c>
      <c r="C7" s="128" t="inlineStr">
        <is>
          <t>Cumplimiento de la auditoría</t>
        </is>
      </c>
      <c r="D7" s="128" t="inlineStr">
        <is>
          <t>SI</t>
        </is>
      </c>
      <c r="E7" s="128" t="inlineStr">
        <is>
          <t>Se realizó mínimo 1 auditoría en el año con la participación del COPASST (si o no)</t>
        </is>
      </c>
      <c r="F7" s="130" t="inlineStr">
        <is>
          <t>Programa de auditoría, informe de auditoría</t>
        </is>
      </c>
      <c r="G7" s="131" t="inlineStr">
        <is>
          <t>ANUAL</t>
        </is>
      </c>
      <c r="H7" s="128" t="inlineStr">
        <is>
          <t>Alta gerencia, área SST, COPASST o VIGÍA</t>
        </is>
      </c>
      <c r="I7" s="49" t="inlineStr">
        <is>
          <t>Alta gerencia, área SST, COPASST o VIGÍA, CCL, brigadistas</t>
        </is>
      </c>
      <c r="J7" s="105" t="n"/>
      <c r="K7" s="105" t="n"/>
      <c r="L7" s="105" t="n"/>
      <c r="M7" s="105" t="n"/>
      <c r="N7" s="105" t="n"/>
      <c r="O7" s="105" t="n"/>
      <c r="P7" s="105" t="n"/>
      <c r="Q7" s="105" t="n"/>
      <c r="R7" s="105" t="n"/>
      <c r="S7" s="105" t="n"/>
      <c r="T7" s="105" t="n"/>
      <c r="U7" s="105" t="n"/>
      <c r="V7" s="105" t="n"/>
      <c r="W7" s="105" t="n"/>
      <c r="X7" s="105" t="n"/>
      <c r="Y7" s="105" t="n"/>
      <c r="Z7" s="105" t="n"/>
      <c r="AA7" s="105" t="n"/>
      <c r="AB7" s="105" t="n"/>
      <c r="AC7" s="105" t="n"/>
      <c r="AD7" s="105" t="n"/>
      <c r="AE7" s="115" t="inlineStr">
        <is>
          <t>NO</t>
        </is>
      </c>
      <c r="AF7" s="115" t="inlineStr">
        <is>
          <t>NO</t>
        </is>
      </c>
    </row>
    <row r="8" ht="77.25" customFormat="1" customHeight="1" s="73">
      <c r="A8" s="128" t="inlineStr">
        <is>
          <t>Realizar en el año mínimo 1 revisión por la alta dirección</t>
        </is>
      </c>
      <c r="B8" s="128" t="inlineStr">
        <is>
          <t>REVISIÓN POR LA ALTA DIRECCIÓN</t>
        </is>
      </c>
      <c r="C8" s="128" t="inlineStr">
        <is>
          <t>Cumplimiento de la revisión por la alta dirección</t>
        </is>
      </c>
      <c r="D8" s="128" t="inlineStr">
        <is>
          <t>SI</t>
        </is>
      </c>
      <c r="E8" s="128" t="inlineStr">
        <is>
          <t>Se realizó mínimo 1 revisión por la alta dirección en el año (si o no)</t>
        </is>
      </c>
      <c r="F8" s="130" t="inlineStr">
        <is>
          <t>Registro de revisión por la alta dirección</t>
        </is>
      </c>
      <c r="G8" s="131" t="inlineStr">
        <is>
          <t>ANUAL</t>
        </is>
      </c>
      <c r="H8" s="128" t="inlineStr">
        <is>
          <t>Alta gerencia, área SST,  COPASST</t>
        </is>
      </c>
      <c r="I8" s="49" t="inlineStr">
        <is>
          <t xml:space="preserve">Alta gerencia, área SST, COPASST o VIGÍA, CCL, brigadistas, </t>
        </is>
      </c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  <c r="AB8" s="114" t="n"/>
      <c r="AC8" s="114" t="n"/>
      <c r="AD8" s="114" t="n"/>
      <c r="AE8" s="111" t="inlineStr">
        <is>
          <t>SI</t>
        </is>
      </c>
      <c r="AF8" s="111" t="inlineStr">
        <is>
          <t>SI</t>
        </is>
      </c>
    </row>
    <row r="9" ht="77.25" customFormat="1" customHeight="1" s="73">
      <c r="A9" s="128" t="inlineStr">
        <is>
          <t>Capacitar a la brigada de emergencias en: primeros auxilios, evacuación y rescate, prevención y control de incendios</t>
        </is>
      </c>
      <c r="B9" s="128" t="inlineStr">
        <is>
          <t>CAPACITACIÓN BRIGADA DE EMERGENCIAS</t>
        </is>
      </c>
      <c r="C9" s="128" t="inlineStr">
        <is>
          <t>Cumplimiento en la capacitación de todos los trabajadores que conforman la brigada de emergencias</t>
        </is>
      </c>
      <c r="D9" s="129" t="n">
        <v>1</v>
      </c>
      <c r="E9" s="128" t="inlineStr">
        <is>
          <t>(# de brigadistas capacitados / # de brigadistas establecidos en la empresa) X 100%</t>
        </is>
      </c>
      <c r="F9" s="130" t="inlineStr">
        <is>
          <t>Matriz de indicadores del SG-SST</t>
        </is>
      </c>
      <c r="G9" s="197" t="inlineStr">
        <is>
          <t>ANUAL</t>
        </is>
      </c>
      <c r="H9" s="128" t="inlineStr">
        <is>
          <t>Área SST, COPASST o VIGÍA</t>
        </is>
      </c>
      <c r="I9" s="49" t="inlineStr">
        <is>
          <t>Alta gerencia, área SST, COPASST o VIGÍA, CCL, brigadistas</t>
        </is>
      </c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96">
        <f>3/3*100%</f>
        <v/>
      </c>
      <c r="AF9" s="115" t="inlineStr">
        <is>
          <t>SI</t>
        </is>
      </c>
      <c r="AK9" s="205" t="inlineStr">
        <is>
          <t>Ejecutado</t>
        </is>
      </c>
      <c r="AM9" s="205" t="n">
        <v>10</v>
      </c>
    </row>
    <row r="10" ht="77.25" customFormat="1" customHeight="1" s="73">
      <c r="A10" s="128" t="inlineStr">
        <is>
          <t>Hacer la rendición de cuentas por parte del COPASST, CCL, brigada de emergencias, Área SST,  en el mes de diciembre</t>
        </is>
      </c>
      <c r="B10" s="128" t="inlineStr">
        <is>
          <t>RENDICIÓN DE CUENTAS</t>
        </is>
      </c>
      <c r="C10" s="128" t="inlineStr">
        <is>
          <t>Cumplimiento de la rendición de cuentas anual por parte de todos los trabajadores con responsabilidades asignadas en el SG-SST</t>
        </is>
      </c>
      <c r="D10" s="129" t="inlineStr">
        <is>
          <t>SI</t>
        </is>
      </c>
      <c r="E10" s="128" t="inlineStr">
        <is>
          <t>Se realizó la rendición de cuentas en el mes de diciembre por parte del COPASST, CCL, brigada de emergencias y área SST (si o no)</t>
        </is>
      </c>
      <c r="F10" s="130" t="inlineStr">
        <is>
          <t>Registro de la rendición de cuentas</t>
        </is>
      </c>
      <c r="G10" s="197" t="inlineStr">
        <is>
          <t>ANUAL</t>
        </is>
      </c>
      <c r="H10" s="128" t="inlineStr">
        <is>
          <t>Alta gerencia, área SST,  COPASST, CCL, brigadista</t>
        </is>
      </c>
      <c r="I10" s="49" t="inlineStr">
        <is>
          <t xml:space="preserve">Alta gerencia, área SST, COPASST o VIGÍA, CCL, brigadistas, </t>
        </is>
      </c>
      <c r="J10" s="200" t="n"/>
      <c r="K10" s="200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  <c r="AC10" s="200" t="n"/>
      <c r="AD10" s="200" t="n"/>
      <c r="AE10" s="111" t="inlineStr">
        <is>
          <t>SI</t>
        </is>
      </c>
      <c r="AF10" s="111" t="inlineStr">
        <is>
          <t>SI</t>
        </is>
      </c>
      <c r="AK10" s="205" t="inlineStr">
        <is>
          <t>Planificado</t>
        </is>
      </c>
      <c r="AM10" s="205" t="n">
        <v>20</v>
      </c>
      <c r="AO10" s="205" t="inlineStr">
        <is>
          <t>10/20 X 100%</t>
        </is>
      </c>
      <c r="AP10" s="206" t="n">
        <v>0.5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8">
    <mergeCell ref="AE3:AF3"/>
    <mergeCell ref="AE2:AF2"/>
    <mergeCell ref="J4:AF4"/>
    <mergeCell ref="AE1:AF1"/>
    <mergeCell ref="A4:I5"/>
    <mergeCell ref="A1:B3"/>
    <mergeCell ref="J5:AF5"/>
    <mergeCell ref="C1:AD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E14" sqref="E14"/>
    </sheetView>
  </sheetViews>
  <sheetFormatPr baseColWidth="10" defaultRowHeight="15"/>
  <sheetData>
    <row r="1"/>
    <row r="2">
      <c r="B2" s="184" t="inlineStr">
        <is>
          <t>VERSIÓN: 1</t>
        </is>
      </c>
      <c r="C2" s="184" t="inlineStr">
        <is>
          <t>FECHA: 01/02/2026</t>
        </is>
      </c>
      <c r="D2" s="184" t="inlineStr">
        <is>
          <t>CAMBIO</t>
        </is>
      </c>
      <c r="E2" s="187" t="n"/>
      <c r="F2" s="187" t="n"/>
      <c r="G2" s="188" t="n"/>
    </row>
    <row r="3">
      <c r="B3" s="97" t="n">
        <v>1</v>
      </c>
      <c r="C3" s="90" t="n">
        <v>44491</v>
      </c>
      <c r="D3" s="120" t="inlineStr">
        <is>
          <t>Se crea documento</t>
        </is>
      </c>
      <c r="E3" s="187" t="n"/>
      <c r="F3" s="187" t="n"/>
      <c r="G3" s="188" t="n"/>
    </row>
    <row r="4">
      <c r="B4" s="97" t="n">
        <v>2</v>
      </c>
      <c r="C4" s="90" t="n">
        <v>44614</v>
      </c>
      <c r="D4" s="120" t="inlineStr">
        <is>
          <t>CODIGO:
FG-FOR-SST-126</t>
        </is>
      </c>
      <c r="E4" s="187" t="n"/>
      <c r="F4" s="187" t="n"/>
      <c r="G4" s="188" t="n"/>
    </row>
    <row r="5">
      <c r="B5" s="97" t="n">
        <v>3</v>
      </c>
      <c r="C5" s="90" t="n">
        <v>44930</v>
      </c>
      <c r="D5" s="120" t="inlineStr">
        <is>
          <t>Se realiza cambio de informacion</t>
        </is>
      </c>
      <c r="E5" s="187" t="n"/>
      <c r="F5" s="187" t="n"/>
      <c r="G5" s="188" t="n"/>
    </row>
    <row r="6">
      <c r="B6" s="89" t="n"/>
      <c r="C6" s="89" t="n"/>
      <c r="D6" s="120" t="n"/>
      <c r="E6" s="187" t="n"/>
      <c r="F6" s="187" t="n"/>
      <c r="G6" s="188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5">
    <mergeCell ref="D3:G3"/>
    <mergeCell ref="D5:G5"/>
    <mergeCell ref="D6:G6"/>
    <mergeCell ref="D2:G2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2026-05-27T17:39:35Z</dcterms:modified>
</cp:coreProperties>
</file>