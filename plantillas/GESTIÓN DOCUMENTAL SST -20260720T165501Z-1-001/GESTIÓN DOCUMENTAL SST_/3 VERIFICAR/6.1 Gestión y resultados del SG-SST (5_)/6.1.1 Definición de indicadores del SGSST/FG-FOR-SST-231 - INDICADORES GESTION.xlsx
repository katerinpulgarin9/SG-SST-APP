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SPECCIONES" sheetId="1" state="visible" r:id="rId1"/>
    <sheet xmlns:r="http://schemas.openxmlformats.org/officeDocument/2006/relationships" name="CAPACITACIÓN" sheetId="2" state="visible" r:id="rId2"/>
    <sheet xmlns:r="http://schemas.openxmlformats.org/officeDocument/2006/relationships" name="SEVERIDAD" sheetId="3" state="visible" r:id="rId3"/>
    <sheet xmlns:r="http://schemas.openxmlformats.org/officeDocument/2006/relationships" name="FRECUENCIA" sheetId="4" state="visible" r:id="rId4"/>
    <sheet xmlns:r="http://schemas.openxmlformats.org/officeDocument/2006/relationships" name="MORTALIDAD" sheetId="5" state="visible" r:id="rId5"/>
    <sheet xmlns:r="http://schemas.openxmlformats.org/officeDocument/2006/relationships" name="INCIDENCIA" sheetId="6" state="visible" r:id="rId6"/>
    <sheet xmlns:r="http://schemas.openxmlformats.org/officeDocument/2006/relationships" name="PREVALENCIA" sheetId="7" state="visible" r:id="rId7"/>
    <sheet xmlns:r="http://schemas.openxmlformats.org/officeDocument/2006/relationships" name="AUSENTISM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3">
    <font>
      <name val="Calibri"/>
      <color theme="1"/>
      <sz val="11"/>
      <scheme val="minor"/>
    </font>
    <font>
      <name val="Arial"/>
      <family val="2"/>
      <color theme="1"/>
      <sz val="11"/>
    </font>
    <font>
      <name val="Calibri"/>
      <family val="2"/>
      <sz val="11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color theme="1"/>
      <sz val="9"/>
    </font>
    <font>
      <name val="Arial"/>
      <family val="2"/>
      <color theme="1"/>
      <sz val="11"/>
      <vertAlign val="superscript"/>
    </font>
  </fonts>
  <fills count="15">
    <fill>
      <patternFill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000000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37"/>
  </cellStyleXfs>
  <cellXfs count="2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9" fontId="1" fillId="4" borderId="21" applyAlignment="1" pivotButton="0" quotePrefix="0" xfId="0">
      <alignment vertical="center"/>
    </xf>
    <xf numFmtId="9" fontId="1" fillId="4" borderId="21" applyAlignment="1" pivotButton="0" quotePrefix="0" xfId="0">
      <alignment horizontal="left" vertical="center"/>
    </xf>
    <xf numFmtId="9" fontId="1" fillId="5" borderId="21" applyAlignment="1" pivotButton="0" quotePrefix="0" xfId="0">
      <alignment horizontal="left" vertical="center"/>
    </xf>
    <xf numFmtId="9" fontId="1" fillId="4" borderId="21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0" fontId="7" fillId="8" borderId="26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9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1" fillId="4" borderId="11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9" fontId="1" fillId="4" borderId="26" applyAlignment="1" pivotButton="0" quotePrefix="0" xfId="0">
      <alignment vertical="center"/>
    </xf>
    <xf numFmtId="9" fontId="1" fillId="4" borderId="26" applyAlignment="1" pivotButton="0" quotePrefix="0" xfId="0">
      <alignment horizontal="left" vertical="center"/>
    </xf>
    <xf numFmtId="9" fontId="1" fillId="5" borderId="29" applyAlignment="1" pivotButton="0" quotePrefix="0" xfId="0">
      <alignment horizontal="left" vertical="center"/>
    </xf>
    <xf numFmtId="9" fontId="1" fillId="5" borderId="30" applyAlignment="1" pivotButton="0" quotePrefix="0" xfId="0">
      <alignment horizontal="left" vertical="center"/>
    </xf>
    <xf numFmtId="9" fontId="1" fillId="4" borderId="30" applyAlignment="1" pivotButton="0" quotePrefix="0" xfId="0">
      <alignment horizontal="center" vertical="center"/>
    </xf>
    <xf numFmtId="9" fontId="1" fillId="6" borderId="29" applyAlignment="1" pivotButton="0" quotePrefix="0" xfId="0">
      <alignment horizontal="left" vertical="center"/>
    </xf>
    <xf numFmtId="9" fontId="1" fillId="6" borderId="30" applyAlignment="1" pivotButton="0" quotePrefix="0" xfId="0">
      <alignment horizontal="left" vertical="center"/>
    </xf>
    <xf numFmtId="9" fontId="1" fillId="4" borderId="31" applyAlignment="1" pivotButton="0" quotePrefix="0" xfId="0">
      <alignment horizontal="left" vertical="center"/>
    </xf>
    <xf numFmtId="0" fontId="1" fillId="0" borderId="18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9" fontId="1" fillId="4" borderId="29" applyAlignment="1" pivotButton="0" quotePrefix="0" xfId="0">
      <alignment horizontal="right" vertical="center"/>
    </xf>
    <xf numFmtId="0" fontId="1" fillId="0" borderId="19" applyAlignment="1" pivotButton="0" quotePrefix="0" xfId="0">
      <alignment horizontal="left"/>
    </xf>
    <xf numFmtId="164" fontId="1" fillId="5" borderId="26" applyAlignment="1" pivotButton="0" quotePrefix="0" xfId="0">
      <alignment vertical="center"/>
    </xf>
    <xf numFmtId="3" fontId="1" fillId="6" borderId="26" applyAlignment="1" pivotButton="0" quotePrefix="0" xfId="0">
      <alignment vertical="center"/>
    </xf>
    <xf numFmtId="164" fontId="1" fillId="4" borderId="31" applyAlignment="1" pivotButton="0" quotePrefix="0" xfId="0">
      <alignment vertical="center"/>
    </xf>
    <xf numFmtId="164" fontId="1" fillId="4" borderId="30" applyAlignment="1" pivotButton="0" quotePrefix="0" xfId="0">
      <alignment vertical="center"/>
    </xf>
    <xf numFmtId="3" fontId="1" fillId="4" borderId="31" applyAlignment="1" pivotButton="0" quotePrefix="0" xfId="0">
      <alignment vertical="center"/>
    </xf>
    <xf numFmtId="3" fontId="1" fillId="4" borderId="30" applyAlignment="1" pivotButton="0" quotePrefix="0" xfId="0">
      <alignment vertical="center"/>
    </xf>
    <xf numFmtId="0" fontId="5" fillId="4" borderId="29" applyAlignment="1" pivotButton="0" quotePrefix="0" xfId="0">
      <alignment horizontal="right" vertical="center"/>
    </xf>
    <xf numFmtId="3" fontId="5" fillId="4" borderId="30" applyAlignment="1" pivotButton="0" quotePrefix="0" xfId="0">
      <alignment horizontal="left" vertical="center"/>
    </xf>
    <xf numFmtId="0" fontId="8" fillId="8" borderId="26" applyAlignment="1" pivotButton="0" quotePrefix="0" xfId="0">
      <alignment horizontal="center"/>
    </xf>
    <xf numFmtId="0" fontId="7" fillId="0" borderId="26" applyAlignment="1" pivotButton="0" quotePrefix="0" xfId="0">
      <alignment horizontal="center" wrapText="1"/>
    </xf>
    <xf numFmtId="4" fontId="9" fillId="0" borderId="26" applyAlignment="1" pivotButton="0" quotePrefix="0" xfId="0">
      <alignment horizontal="center" vertical="center"/>
    </xf>
    <xf numFmtId="3" fontId="9" fillId="0" borderId="26" applyAlignment="1" pivotButton="0" quotePrefix="0" xfId="0">
      <alignment horizontal="center" vertical="center"/>
    </xf>
    <xf numFmtId="0" fontId="9" fillId="4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/>
    </xf>
    <xf numFmtId="4" fontId="9" fillId="4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4" fontId="7" fillId="0" borderId="26" applyAlignment="1" pivotButton="0" quotePrefix="0" xfId="0">
      <alignment horizontal="center" vertical="center"/>
    </xf>
    <xf numFmtId="9" fontId="9" fillId="4" borderId="26" applyAlignment="1" pivotButton="0" quotePrefix="0" xfId="0">
      <alignment horizontal="center" vertical="center"/>
    </xf>
    <xf numFmtId="0" fontId="8" fillId="8" borderId="39" applyAlignment="1" pivotButton="0" quotePrefix="0" xfId="0">
      <alignment horizontal="center"/>
    </xf>
    <xf numFmtId="0" fontId="1" fillId="0" borderId="21" applyAlignment="1" pivotButton="0" quotePrefix="0" xfId="0">
      <alignment horizontal="center" vertical="center" wrapText="1"/>
    </xf>
    <xf numFmtId="0" fontId="1" fillId="0" borderId="16" pivotButton="0" quotePrefix="0" xfId="0"/>
    <xf numFmtId="0" fontId="1" fillId="0" borderId="22" pivotButton="0" quotePrefix="0" xfId="0"/>
    <xf numFmtId="0" fontId="1" fillId="0" borderId="17" pivotButton="0" quotePrefix="0" xfId="0"/>
    <xf numFmtId="0" fontId="5" fillId="11" borderId="21" applyAlignment="1" pivotButton="0" quotePrefix="0" xfId="0">
      <alignment horizontal="center" vertical="center"/>
    </xf>
    <xf numFmtId="0" fontId="5" fillId="11" borderId="40" applyAlignment="1" pivotButton="0" quotePrefix="0" xfId="0">
      <alignment horizontal="center" vertical="center" wrapText="1"/>
    </xf>
    <xf numFmtId="0" fontId="7" fillId="0" borderId="4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7" fillId="0" borderId="42" pivotButton="0" quotePrefix="0" xfId="0"/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165" fontId="1" fillId="0" borderId="19" applyAlignment="1" pivotButton="0" quotePrefix="0" xfId="0">
      <alignment horizontal="left"/>
    </xf>
    <xf numFmtId="0" fontId="8" fillId="8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2" fontId="7" fillId="0" borderId="26" applyAlignment="1" pivotButton="0" quotePrefix="0" xfId="0">
      <alignment horizontal="center" vertical="center"/>
    </xf>
    <xf numFmtId="165" fontId="7" fillId="0" borderId="26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/>
    </xf>
    <xf numFmtId="0" fontId="1" fillId="0" borderId="18" applyAlignment="1" pivotButton="0" quotePrefix="0" xfId="0">
      <alignment horizontal="right"/>
    </xf>
    <xf numFmtId="0" fontId="1" fillId="0" borderId="20" pivotButton="0" quotePrefix="0" xfId="0"/>
    <xf numFmtId="0" fontId="1" fillId="0" borderId="19" pivotButton="0" quotePrefix="0" xfId="0"/>
    <xf numFmtId="9" fontId="10" fillId="0" borderId="18" applyAlignment="1" pivotButton="0" quotePrefix="0" xfId="0">
      <alignment horizontal="right"/>
    </xf>
    <xf numFmtId="164" fontId="1" fillId="5" borderId="31" applyAlignment="1" pivotButton="0" quotePrefix="0" xfId="0">
      <alignment vertical="center"/>
    </xf>
    <xf numFmtId="9" fontId="1" fillId="5" borderId="30" applyAlignment="1" pivotButton="0" quotePrefix="0" xfId="0">
      <alignment horizontal="right" vertical="center"/>
    </xf>
    <xf numFmtId="3" fontId="10" fillId="4" borderId="29" applyAlignment="1" pivotButton="0" quotePrefix="0" xfId="0">
      <alignment horizontal="right" vertical="center"/>
    </xf>
    <xf numFmtId="3" fontId="1" fillId="6" borderId="31" applyAlignment="1" pivotButton="0" quotePrefix="0" xfId="0">
      <alignment vertical="center"/>
    </xf>
    <xf numFmtId="9" fontId="1" fillId="6" borderId="30" applyAlignment="1" pivotButton="0" quotePrefix="0" xfId="0">
      <alignment horizontal="right" vertical="center"/>
    </xf>
    <xf numFmtId="9" fontId="1" fillId="0" borderId="20" applyAlignment="1" pivotButton="0" quotePrefix="0" xfId="0">
      <alignment horizontal="left"/>
    </xf>
    <xf numFmtId="0" fontId="11" fillId="0" borderId="26" applyAlignment="1" pivotButton="0" quotePrefix="0" xfId="0">
      <alignment horizontal="center" vertical="center"/>
    </xf>
    <xf numFmtId="1" fontId="7" fillId="0" borderId="26" applyAlignment="1" pivotButton="0" quotePrefix="0" xfId="0">
      <alignment horizontal="center" vertical="center"/>
    </xf>
    <xf numFmtId="9" fontId="7" fillId="0" borderId="26" applyAlignment="1" pivotButton="0" quotePrefix="0" xfId="0">
      <alignment horizontal="center" vertical="center"/>
    </xf>
    <xf numFmtId="0" fontId="1" fillId="4" borderId="29" applyAlignment="1" pivotButton="0" quotePrefix="0" xfId="0">
      <alignment horizontal="right" vertical="center" wrapText="1"/>
    </xf>
    <xf numFmtId="3" fontId="1" fillId="4" borderId="30" applyAlignment="1" pivotButton="0" quotePrefix="0" xfId="0">
      <alignment horizontal="left" vertical="center" wrapText="1"/>
    </xf>
    <xf numFmtId="0" fontId="11" fillId="13" borderId="2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66" fontId="1" fillId="0" borderId="19" applyAlignment="1" pivotButton="0" quotePrefix="0" xfId="0">
      <alignment horizontal="left"/>
    </xf>
    <xf numFmtId="10" fontId="1" fillId="0" borderId="19" applyAlignment="1" pivotButton="0" quotePrefix="0" xfId="0">
      <alignment horizontal="left"/>
    </xf>
    <xf numFmtId="10" fontId="9" fillId="0" borderId="26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0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1" fillId="0" borderId="8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/>
    </xf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5" fillId="2" borderId="18" applyAlignment="1" pivotButton="0" quotePrefix="0" xfId="0">
      <alignment horizontal="center" vertical="center"/>
    </xf>
    <xf numFmtId="0" fontId="2" fillId="0" borderId="19" pivotButton="0" quotePrefix="0" xfId="0"/>
    <xf numFmtId="0" fontId="1" fillId="0" borderId="18" applyAlignment="1" pivotButton="0" quotePrefix="0" xfId="0">
      <alignment horizontal="left" vertical="center" wrapText="1"/>
    </xf>
    <xf numFmtId="0" fontId="2" fillId="0" borderId="20" pivotButton="0" quotePrefix="0" xfId="0"/>
    <xf numFmtId="0" fontId="5" fillId="2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right" vertical="center"/>
    </xf>
    <xf numFmtId="0" fontId="1" fillId="0" borderId="8" applyAlignment="1" pivotButton="0" quotePrefix="0" xfId="0">
      <alignment vertical="center"/>
    </xf>
    <xf numFmtId="0" fontId="6" fillId="3" borderId="1" applyAlignment="1" pivotButton="0" quotePrefix="0" xfId="0">
      <alignment horizontal="right" vertical="center" wrapText="1"/>
    </xf>
    <xf numFmtId="0" fontId="7" fillId="7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/>
    </xf>
    <xf numFmtId="0" fontId="2" fillId="0" borderId="22" pivotButton="0" quotePrefix="0" xfId="0"/>
    <xf numFmtId="0" fontId="5" fillId="7" borderId="23" applyAlignment="1" pivotButton="0" quotePrefix="0" xfId="0">
      <alignment horizontal="center"/>
    </xf>
    <xf numFmtId="0" fontId="2" fillId="0" borderId="24" pivotButton="0" quotePrefix="0" xfId="0"/>
    <xf numFmtId="0" fontId="2" fillId="0" borderId="25" pivotButton="0" quotePrefix="0" xfId="0"/>
    <xf numFmtId="0" fontId="1" fillId="0" borderId="14" applyAlignment="1" pivotButton="0" quotePrefix="0" xfId="0">
      <alignment horizontal="center"/>
    </xf>
    <xf numFmtId="0" fontId="5" fillId="7" borderId="18" applyAlignment="1" pivotButton="0" quotePrefix="0" xfId="0">
      <alignment horizontal="center"/>
    </xf>
    <xf numFmtId="0" fontId="5" fillId="7" borderId="18" applyAlignment="1" pivotButton="0" quotePrefix="0" xfId="0">
      <alignment horizontal="center" vertical="center"/>
    </xf>
    <xf numFmtId="0" fontId="5" fillId="3" borderId="18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35" applyAlignment="1" pivotButton="0" quotePrefix="0" xfId="0">
      <alignment horizontal="center" vertical="center"/>
    </xf>
    <xf numFmtId="0" fontId="2" fillId="0" borderId="36" pivotButton="0" quotePrefix="0" xfId="0"/>
    <xf numFmtId="0" fontId="2" fillId="0" borderId="37" pivotButton="0" quotePrefix="0" xfId="0"/>
    <xf numFmtId="0" fontId="1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2" fillId="0" borderId="27" pivotButton="0" quotePrefix="0" xfId="0"/>
    <xf numFmtId="0" fontId="3" fillId="0" borderId="1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2" fillId="0" borderId="28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right" vertical="center"/>
    </xf>
    <xf numFmtId="0" fontId="1" fillId="0" borderId="18" applyAlignment="1" pivotButton="0" quotePrefix="0" xfId="0">
      <alignment horizontal="left" vertical="center"/>
    </xf>
    <xf numFmtId="0" fontId="5" fillId="0" borderId="18" applyAlignment="1" pivotButton="0" quotePrefix="0" xfId="0">
      <alignment horizontal="right" vertical="center"/>
    </xf>
    <xf numFmtId="0" fontId="6" fillId="0" borderId="12" applyAlignment="1" pivotButton="0" quotePrefix="0" xfId="0">
      <alignment horizontal="right" vertical="center" wrapText="1"/>
    </xf>
    <xf numFmtId="9" fontId="1" fillId="4" borderId="23" applyAlignment="1" pivotButton="0" quotePrefix="0" xfId="0">
      <alignment horizontal="center" vertical="center"/>
    </xf>
    <xf numFmtId="9" fontId="1" fillId="4" borderId="32" applyAlignment="1" pivotButton="0" quotePrefix="0" xfId="0">
      <alignment horizontal="center" vertical="center"/>
    </xf>
    <xf numFmtId="0" fontId="2" fillId="0" borderId="33" pivotButton="0" quotePrefix="0" xfId="0"/>
    <xf numFmtId="0" fontId="2" fillId="0" borderId="34" pivotButton="0" quotePrefix="0" xfId="0"/>
    <xf numFmtId="0" fontId="5" fillId="9" borderId="18" applyAlignment="1" pivotButton="0" quotePrefix="0" xfId="0">
      <alignment horizontal="center" vertical="center"/>
    </xf>
    <xf numFmtId="0" fontId="5" fillId="3" borderId="18" applyAlignment="1" pivotButton="0" quotePrefix="0" xfId="0">
      <alignment horizontal="center"/>
    </xf>
    <xf numFmtId="0" fontId="5" fillId="3" borderId="23" applyAlignment="1" pivotButton="0" quotePrefix="0" xfId="0">
      <alignment horizontal="center"/>
    </xf>
    <xf numFmtId="0" fontId="7" fillId="11" borderId="18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18" applyAlignment="1" pivotButton="0" quotePrefix="0" xfId="0">
      <alignment vertical="center"/>
    </xf>
    <xf numFmtId="0" fontId="5" fillId="0" borderId="12" applyAlignment="1" pivotButton="0" quotePrefix="0" xfId="0">
      <alignment horizontal="right" vertical="center" wrapText="1"/>
    </xf>
    <xf numFmtId="0" fontId="1" fillId="4" borderId="18" applyAlignment="1" pivotButton="0" quotePrefix="0" xfId="0">
      <alignment horizontal="left" vertical="center"/>
    </xf>
    <xf numFmtId="0" fontId="1" fillId="4" borderId="18" applyAlignment="1" pivotButton="0" quotePrefix="0" xfId="0">
      <alignment horizontal="left" vertical="center" wrapText="1"/>
    </xf>
    <xf numFmtId="0" fontId="2" fillId="0" borderId="38" pivotButton="0" quotePrefix="0" xfId="0"/>
    <xf numFmtId="0" fontId="5" fillId="10" borderId="18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11" borderId="8" applyAlignment="1" pivotButton="0" quotePrefix="0" xfId="0">
      <alignment horizontal="center" vertical="center"/>
    </xf>
    <xf numFmtId="0" fontId="5" fillId="12" borderId="18" applyAlignment="1" pivotButton="0" quotePrefix="0" xfId="0">
      <alignment horizontal="center"/>
    </xf>
    <xf numFmtId="0" fontId="6" fillId="3" borderId="23" applyAlignment="1" pivotButton="0" quotePrefix="0" xfId="0">
      <alignment horizontal="center"/>
    </xf>
    <xf numFmtId="0" fontId="5" fillId="11" borderId="18" applyAlignment="1" pivotButton="0" quotePrefix="0" xfId="0">
      <alignment horizontal="center" vertical="center"/>
    </xf>
    <xf numFmtId="0" fontId="5" fillId="11" borderId="18" applyAlignment="1" pivotButton="0" quotePrefix="0" xfId="0">
      <alignment horizontal="center"/>
    </xf>
    <xf numFmtId="0" fontId="5" fillId="11" borderId="23" applyAlignment="1" pivotButton="0" quotePrefix="0" xfId="0">
      <alignment horizontal="center"/>
    </xf>
    <xf numFmtId="0" fontId="5" fillId="14" borderId="18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0" fillId="0" borderId="25" pivotButton="0" quotePrefix="0" xfId="0"/>
    <xf numFmtId="0" fontId="4" fillId="0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21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4" applyAlignment="1" pivotButton="0" quotePrefix="0" xfId="0">
      <alignment horizontal="center"/>
    </xf>
    <xf numFmtId="0" fontId="0" fillId="0" borderId="4" pivotButton="0" quotePrefix="0" xfId="0"/>
    <xf numFmtId="0" fontId="5" fillId="2" borderId="26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26" applyAlignment="1" pivotButton="0" quotePrefix="0" xfId="0">
      <alignment horizontal="left" vertical="center" wrapText="1"/>
    </xf>
    <xf numFmtId="0" fontId="0" fillId="0" borderId="38" pivotButton="0" quotePrefix="0" xfId="0"/>
    <xf numFmtId="0" fontId="1" fillId="0" borderId="37" applyAlignment="1" pivotButton="0" quotePrefix="0" xfId="0">
      <alignment horizontal="center"/>
    </xf>
    <xf numFmtId="0" fontId="5" fillId="2" borderId="21" applyAlignment="1" pivotButton="0" quotePrefix="0" xfId="0">
      <alignment horizontal="center" vertical="center"/>
    </xf>
    <xf numFmtId="0" fontId="5" fillId="3" borderId="21" applyAlignment="1" pivotButton="0" quotePrefix="0" xfId="0">
      <alignment horizontal="right" vertical="center"/>
    </xf>
    <xf numFmtId="0" fontId="6" fillId="3" borderId="21" applyAlignment="1" pivotButton="0" quotePrefix="0" xfId="0">
      <alignment horizontal="right" vertical="center" wrapText="1"/>
    </xf>
    <xf numFmtId="0" fontId="1" fillId="0" borderId="39" applyAlignment="1" pivotButton="0" quotePrefix="0" xfId="0">
      <alignment horizontal="center"/>
    </xf>
    <xf numFmtId="0" fontId="0" fillId="0" borderId="33" pivotButton="0" quotePrefix="0" xfId="0"/>
    <xf numFmtId="0" fontId="5" fillId="7" borderId="48" applyAlignment="1" pivotButton="0" quotePrefix="0" xfId="0">
      <alignment horizontal="center"/>
    </xf>
    <xf numFmtId="0" fontId="0" fillId="0" borderId="27" pivotButton="0" quotePrefix="0" xfId="0"/>
    <xf numFmtId="0" fontId="5" fillId="7" borderId="26" applyAlignment="1" pivotButton="0" quotePrefix="0" xfId="0">
      <alignment horizontal="center"/>
    </xf>
    <xf numFmtId="0" fontId="7" fillId="7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0" fillId="0" borderId="28" pivotButton="0" quotePrefix="0" xfId="0"/>
    <xf numFmtId="0" fontId="5" fillId="3" borderId="2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5" fillId="0" borderId="39" applyAlignment="1" pivotButton="0" quotePrefix="0" xfId="0">
      <alignment horizontal="right" vertical="center"/>
    </xf>
    <xf numFmtId="0" fontId="1" fillId="0" borderId="26" applyAlignment="1" pivotButton="0" quotePrefix="0" xfId="0">
      <alignment horizontal="left" vertical="center"/>
    </xf>
    <xf numFmtId="0" fontId="5" fillId="0" borderId="26" applyAlignment="1" pivotButton="0" quotePrefix="0" xfId="0">
      <alignment horizontal="right" vertical="center"/>
    </xf>
    <xf numFmtId="0" fontId="1" fillId="0" borderId="29" applyAlignment="1" pivotButton="0" quotePrefix="0" xfId="0">
      <alignment horizontal="left" vertical="center"/>
    </xf>
    <xf numFmtId="0" fontId="6" fillId="0" borderId="26" applyAlignment="1" pivotButton="0" quotePrefix="0" xfId="0">
      <alignment horizontal="right" vertical="center" wrapText="1"/>
    </xf>
    <xf numFmtId="9" fontId="1" fillId="4" borderId="48" applyAlignment="1" pivotButton="0" quotePrefix="0" xfId="0">
      <alignment horizontal="center" vertical="center"/>
    </xf>
    <xf numFmtId="9" fontId="1" fillId="4" borderId="3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9" borderId="26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right" vertical="center" wrapText="1"/>
    </xf>
    <xf numFmtId="0" fontId="1" fillId="4" borderId="26" applyAlignment="1" pivotButton="0" quotePrefix="0" xfId="0">
      <alignment horizontal="left" vertical="center"/>
    </xf>
    <xf numFmtId="0" fontId="1" fillId="4" borderId="29" applyAlignment="1" pivotButton="0" quotePrefix="0" xfId="0">
      <alignment horizontal="left" vertical="center" wrapText="1"/>
    </xf>
    <xf numFmtId="0" fontId="5" fillId="3" borderId="26" applyAlignment="1" pivotButton="0" quotePrefix="0" xfId="0">
      <alignment horizontal="center"/>
    </xf>
    <xf numFmtId="0" fontId="5" fillId="10" borderId="26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5" fillId="3" borderId="48" applyAlignment="1" pivotButton="0" quotePrefix="0" xfId="0">
      <alignment horizontal="center"/>
    </xf>
    <xf numFmtId="0" fontId="7" fillId="11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left" vertical="center" wrapText="1"/>
    </xf>
    <xf numFmtId="0" fontId="5" fillId="12" borderId="26" applyAlignment="1" pivotButton="0" quotePrefix="0" xfId="0">
      <alignment horizontal="center"/>
    </xf>
    <xf numFmtId="0" fontId="6" fillId="3" borderId="48" applyAlignment="1" pivotButton="0" quotePrefix="0" xfId="0">
      <alignment horizontal="center"/>
    </xf>
    <xf numFmtId="0" fontId="5" fillId="11" borderId="26" applyAlignment="1" pivotButton="0" quotePrefix="0" xfId="0">
      <alignment horizontal="center" vertical="center"/>
    </xf>
    <xf numFmtId="0" fontId="5" fillId="11" borderId="26" applyAlignment="1" pivotButton="0" quotePrefix="0" xfId="0">
      <alignment horizontal="center"/>
    </xf>
    <xf numFmtId="0" fontId="5" fillId="11" borderId="48" applyAlignment="1" pivotButton="0" quotePrefix="0" xfId="0">
      <alignment horizontal="center"/>
    </xf>
    <xf numFmtId="0" fontId="5" fillId="14" borderId="26" applyAlignment="1" pivotButton="0" quotePrefix="0" xfId="0">
      <alignment horizontal="center"/>
    </xf>
  </cellXfs>
  <cellStyles count="1">
    <cellStyle name="Normal" xfId="0" builtinId="0"/>
  </cellStyles>
  <dxfs count="5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4861437865402873"/>
          <y val="0.03097606990100164"/>
          <w val="0.8851744846242522"/>
          <h val="0.8093693201644592"/>
        </manualLayout>
      </layout>
      <barChart>
        <barDir val="col"/>
        <grouping val="clustered"/>
        <varyColors val="1"/>
        <ser>
          <idx val="0"/>
          <order val="0"/>
          <tx>
            <v>Cumplimiento inspecciones de seguridad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Gill Sans MT"/>
                  </a:defRPr>
                </a:pPr>
                <a:r>
                  <a:t>None</a:t>
                </a:r>
                <a:endParaRPr lang="es-CO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INSPECCIONES!$C$41:$M$41</f>
              <strCache>
                <ptCount val="6"/>
                <pt idx="0">
                  <v>2023-1</v>
                </pt>
                <pt idx="1">
                  <v>2023-2</v>
                </pt>
                <pt idx="2">
                  <v>2024-1</v>
                </pt>
                <pt idx="3">
                  <v>2024-2</v>
                </pt>
                <pt idx="4">
                  <v>2025-1</v>
                </pt>
                <pt idx="5">
                  <v>2025-2</v>
                </pt>
              </strCache>
            </strRef>
          </cat>
          <val>
            <numRef>
              <f>INSPECCIONES!$C$44:$N$44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39672901"/>
        <axId val="1373041878"/>
      </barChart>
      <lineChart>
        <grouping val="standard"/>
        <varyColors val="0"/>
        <ser>
          <idx val="1"/>
          <order val="1"/>
          <tx>
            <v>Meta</v>
          </tx>
          <spPr>
            <a:ln xmlns:a="http://schemas.openxmlformats.org/drawingml/2006/main" w="28575" cmpd="sng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INSPECCIONES!$C$41:$M$41</f>
              <strCache>
                <ptCount val="6"/>
                <pt idx="0">
                  <v>2023-1</v>
                </pt>
                <pt idx="1">
                  <v>2023-2</v>
                </pt>
                <pt idx="2">
                  <v>2024-1</v>
                </pt>
                <pt idx="3">
                  <v>2024-2</v>
                </pt>
                <pt idx="4">
                  <v>2025-1</v>
                </pt>
                <pt idx="5">
                  <v>2025-2</v>
                </pt>
              </strCache>
            </strRef>
          </cat>
          <val>
            <numRef>
              <f>INSPECCIONES!$C$45:$N$45</f>
              <numCache>
                <formatCode>0%</formatCode>
                <ptCount val="12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39672901"/>
        <axId val="1373041878"/>
      </lineChart>
      <catAx>
        <axId val="3396729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1373041878"/>
        <crosses val="autoZero"/>
        <auto val="1"/>
        <lblAlgn val="ctr"/>
        <lblOffset val="100"/>
        <noMultiLvlLbl val="1"/>
      </catAx>
      <valAx>
        <axId val="137304187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33967290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197765722877192"/>
          <y val="0.9073645563090741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Gill Sans MT"/>
            </a:defRPr>
          </a:pPr>
          <a:r>
            <a:t>None</a:t>
          </a:r>
          <a:endParaRPr lang="es-CO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Gill Sans MT"/>
              </a:defRPr>
            </a:pPr>
            <a:r>
              <a:rPr lang="es-CO" sz="1600" b="1" i="0">
                <a:solidFill>
                  <a:srgbClr val="757575"/>
                </a:solidFill>
                <a:latin typeface="Gill Sans MT"/>
              </a:rPr>
              <a:t>Cumplimiento plan capacitación año 2023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Indicador capacitaciones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CAPACITACIÓN!$C$27:$M$27</f>
              <strCache>
                <ptCount val="11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</strCache>
            </strRef>
          </cat>
          <val>
            <numRef>
              <f>CAPACITACIÓN!$C$30:$N$30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95179880"/>
        <axId val="321700021"/>
      </barChart>
      <lineChart>
        <grouping val="standard"/>
        <varyColors val="0"/>
        <ser>
          <idx val="1"/>
          <order val="1"/>
          <tx>
            <v>Meta</v>
          </tx>
          <spPr>
            <a:ln xmlns:a="http://schemas.openxmlformats.org/drawingml/2006/main" w="28575" cmpd="sng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CAPACITACIÓN!$C$27:$M$27</f>
              <strCache>
                <ptCount val="11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</strCache>
            </strRef>
          </cat>
          <val>
            <numRef>
              <f>CAPACITACIÓN!$C$31:$N$31</f>
              <numCache>
                <formatCode>0%</formatCode>
                <ptCount val="12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95179880"/>
        <axId val="321700021"/>
      </lineChart>
      <catAx>
        <axId val="14951798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321700021"/>
        <crosses val="autoZero"/>
        <auto val="1"/>
        <lblAlgn val="ctr"/>
        <lblOffset val="100"/>
        <noMultiLvlLbl val="1"/>
      </catAx>
      <valAx>
        <axId val="32170002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1495179880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Gill Sans MT"/>
            </a:defRPr>
          </a:pPr>
          <a:r>
            <a:t>None</a:t>
          </a:r>
          <a:endParaRPr lang="es-CO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Gill Sans MT"/>
              </a:defRPr>
            </a:pPr>
            <a:r>
              <a:rPr lang="es-CO" sz="1600" b="1" i="0">
                <a:solidFill>
                  <a:srgbClr val="757575"/>
                </a:solidFill>
                <a:latin typeface="Gill Sans MT"/>
              </a:rPr>
              <a:t>Plan de capacitación 2023-2025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Años</v>
          </tx>
          <spPr>
            <a:solidFill xmlns:a="http://schemas.openxmlformats.org/drawingml/2006/main">
              <a:srgbClr val="FFC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CAPACITACIÓN!$O$27</f>
              <numCache>
                <formatCode>General</formatCode>
                <ptCount val="1"/>
                <pt idx="0">
                  <v>2023</v>
                </pt>
              </numCache>
            </numRef>
          </cat>
          <val>
            <numRef>
              <f>CAPACITACIÓN!$O$34</f>
              <numCache>
                <formatCode>General</formatCode>
                <ptCount val="1"/>
                <pt idx="0">
                  <v>2024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CAPACITACIÓN!$O$27</f>
              <numCache>
                <formatCode>General</formatCode>
                <ptCount val="1"/>
                <pt idx="0">
                  <v>2023</v>
                </pt>
              </numCache>
            </numRef>
          </cat>
          <val>
            <numRef>
              <f>CAPACITACIÓN!$O$41</f>
              <numCache>
                <formatCode>General</formatCode>
                <ptCount val="1"/>
                <pt idx="0">
                  <v>2025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CAPACITACIÓN!$O$27</f>
              <numCache>
                <formatCode>General</formatCode>
                <ptCount val="1"/>
                <pt idx="0">
                  <v>2023</v>
                </pt>
              </numCache>
            </numRef>
          </cat>
          <val>
            <numRef>
              <f>CAPACITACIÓN!$O$30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CAPACITACIÓN!$O$27</f>
              <numCache>
                <formatCode>General</formatCode>
                <ptCount val="1"/>
                <pt idx="0">
                  <v>2023</v>
                </pt>
              </numCache>
            </numRef>
          </cat>
          <val>
            <numRef>
              <f>CAPACITACIÓN!$O$37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CAPACITACIÓN!$O$27</f>
              <numCache>
                <formatCode>General</formatCode>
                <ptCount val="1"/>
                <pt idx="0">
                  <v>2023</v>
                </pt>
              </numCache>
            </numRef>
          </cat>
          <val>
            <numRef>
              <f>CAPACITACIÓN!$O$44</f>
              <numCache>
                <formatCode>0%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893799"/>
        <axId val="816223169"/>
      </barChart>
      <catAx>
        <axId val="7889379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816223169"/>
        <crosses val="autoZero"/>
        <auto val="1"/>
        <lblAlgn val="ctr"/>
        <lblOffset val="100"/>
        <noMultiLvlLbl val="1"/>
      </catAx>
      <valAx>
        <axId val="81622316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78893799"/>
        <crosses val="autoZero"/>
        <crossBetween val="between"/>
      </valAx>
    </plotArea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sz="1600" b="1" i="0">
                <a:solidFill>
                  <a:srgbClr val="757575"/>
                </a:solidFill>
                <a:latin typeface="Cambria"/>
              </a:rPr>
              <a:t>Severidad de Accidentes de Trabajo año 2023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SEVERIDAD!$C$28:$N$28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SEVERIDAD!$C$34:$N$34</f>
              <numCache>
                <formatCode>#,##0.00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71965944"/>
        <axId val="1788747075"/>
      </barChart>
      <catAx>
        <axId val="77196594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1788747075"/>
        <crosses val="autoZero"/>
        <auto val="1"/>
        <lblAlgn val="ctr"/>
        <lblOffset val="100"/>
        <noMultiLvlLbl val="1"/>
      </catAx>
      <valAx>
        <axId val="1788747075"/>
        <scaling>
          <orientation val="minMax"/>
        </scaling>
        <delete val="0"/>
        <axPos val="l"/>
        <numFmt formatCode="#,##0.00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771965944"/>
        <crosses val="autoZero"/>
        <crossBetween val="between"/>
      </valAx>
    </plotArea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Cambria"/>
              </a:defRPr>
            </a:pPr>
            <a:r>
              <a:rPr sz="1600" b="0" i="0">
                <a:solidFill>
                  <a:srgbClr val="757575"/>
                </a:solidFill>
                <a:latin typeface="Cambria"/>
              </a:rPr>
              <a:t>Severidad AT anual 2023-2025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SEVERIDAD!$O$28</f>
              <strCache>
                <ptCount val="1"/>
                <pt idx="0">
                  <v>TOTAL 2023</v>
                </pt>
              </strCache>
            </strRef>
          </cat>
          <val>
            <numRef>
              <f>SEVERIDAD!$O$38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SEVERIDAD!$O$28</f>
              <strCache>
                <ptCount val="1"/>
                <pt idx="0">
                  <v>TOTAL 2023</v>
                </pt>
              </strCache>
            </strRef>
          </cat>
          <val>
            <numRef>
              <f>SEVERIDAD!$O$48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SEVERIDAD!$O$28</f>
              <strCache>
                <ptCount val="1"/>
                <pt idx="0">
                  <v>TOTAL 2023</v>
                </pt>
              </strCache>
            </strRef>
          </cat>
          <val>
            <numRef>
              <f>SEVERIDAD!$O$34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SEVERIDAD!$O$28</f>
              <strCache>
                <ptCount val="1"/>
                <pt idx="0">
                  <v>TOTAL 2023</v>
                </pt>
              </strCache>
            </strRef>
          </cat>
          <val>
            <numRef>
              <f>SEVERIDAD!$O$44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SEVERIDAD!$O$28</f>
              <strCache>
                <ptCount val="1"/>
                <pt idx="0">
                  <v>TOTAL 2023</v>
                </pt>
              </strCache>
            </strRef>
          </cat>
          <val>
            <numRef>
              <f>SEVERIDAD!$O$54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73992145"/>
        <axId val="589487848"/>
      </barChart>
      <catAx>
        <axId val="137399214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589487848"/>
        <crosses val="autoZero"/>
        <auto val="1"/>
        <lblAlgn val="ctr"/>
        <lblOffset val="100"/>
        <noMultiLvlLbl val="1"/>
      </catAx>
      <valAx>
        <axId val="589487848"/>
        <scaling>
          <orientation val="minMax"/>
        </scaling>
        <delete val="0"/>
        <axPos val="l"/>
        <numFmt formatCode="General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1373992145"/>
        <crosses val="autoZero"/>
        <crossBetween val="between"/>
      </valAx>
    </plotArea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Cambria"/>
              </a:defRPr>
            </a:pPr>
            <a:r>
              <a:rPr sz="1600" b="0" i="0">
                <a:solidFill>
                  <a:srgbClr val="757575"/>
                </a:solidFill>
                <a:latin typeface="Cambria"/>
              </a:rPr>
              <a:t>Frecuencia AT anual 2022-2024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FRECUENCIA!$O$28</f>
              <strCache>
                <ptCount val="1"/>
                <pt idx="0">
                  <v>TOTAL 2021</v>
                </pt>
              </strCache>
            </strRef>
          </cat>
          <val>
            <numRef>
              <f>FRECUENCIA!$O$35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FRECUENCIA!$O$28</f>
              <strCache>
                <ptCount val="1"/>
                <pt idx="0">
                  <v>TOTAL 2021</v>
                </pt>
              </strCache>
            </strRef>
          </cat>
          <val>
            <numRef>
              <f>FRECUENCIA!$O$42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FRECUENCIA!$O$28</f>
              <strCache>
                <ptCount val="1"/>
                <pt idx="0">
                  <v>TOTAL 2021</v>
                </pt>
              </strCache>
            </strRef>
          </cat>
          <val>
            <numRef>
              <f>FRECUENCIA!$O$31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FRECUENCIA!$O$28</f>
              <strCache>
                <ptCount val="1"/>
                <pt idx="0">
                  <v>TOTAL 2021</v>
                </pt>
              </strCache>
            </strRef>
          </cat>
          <val>
            <numRef>
              <f>FRECUENCIA!$O$38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FRECUENCIA!$O$28</f>
              <strCache>
                <ptCount val="1"/>
                <pt idx="0">
                  <v>TOTAL 2021</v>
                </pt>
              </strCache>
            </strRef>
          </cat>
          <val>
            <numRef>
              <f>FRECUENCIA!$O$45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13618283"/>
        <axId val="650788722"/>
      </barChart>
      <catAx>
        <axId val="201361828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650788722"/>
        <crosses val="autoZero"/>
        <auto val="1"/>
        <lblAlgn val="ctr"/>
        <lblOffset val="100"/>
        <noMultiLvlLbl val="1"/>
      </catAx>
      <valAx>
        <axId val="650788722"/>
        <scaling>
          <orientation val="minMax"/>
        </scaling>
        <delete val="0"/>
        <axPos val="l"/>
        <numFmt formatCode="General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2013618283"/>
        <crosses val="autoZero"/>
        <crossBetween val="between"/>
      </valAx>
    </plotArea>
    <plotVisOnly val="1"/>
    <dispBlanksAs val="zero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757575"/>
                </a:solidFill>
                <a:latin typeface="Cambria"/>
              </a:defRPr>
            </a:pPr>
            <a:r>
              <a:rPr sz="1800" b="1" i="0">
                <a:solidFill>
                  <a:srgbClr val="757575"/>
                </a:solidFill>
                <a:latin typeface="Cambria"/>
              </a:rPr>
              <a:t>Frecuencia AT año 2022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FRECUENCIA!$C$28:$N$28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FRECUENCIA!$C$31:$N$31</f>
              <numCache>
                <formatCode>#,##0.00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64476850"/>
        <axId val="682795595"/>
      </barChart>
      <catAx>
        <axId val="2644768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682795595"/>
        <crosses val="autoZero"/>
        <auto val="1"/>
        <lblAlgn val="ctr"/>
        <lblOffset val="100"/>
        <noMultiLvlLbl val="1"/>
      </catAx>
      <valAx>
        <axId val="682795595"/>
        <scaling>
          <orientation val="minMax"/>
        </scaling>
        <delete val="0"/>
        <axPos val="l"/>
        <numFmt formatCode="#,##0.00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264476850"/>
        <crosses val="autoZero"/>
        <crossBetween val="between"/>
      </valAx>
    </plotArea>
    <plotVisOnly val="1"/>
    <dispBlanksAs val="zero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Mortalidad  AT anual 2023-2025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MORTALIDAD!$O$24</f>
              <strCache>
                <ptCount val="1"/>
                <pt idx="0">
                  <v>TOTAL 2023</v>
                </pt>
              </strCache>
            </strRef>
          </cat>
          <val>
            <numRef>
              <f>MORTALIDAD!$O$32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MORTALIDAD!$O$24</f>
              <strCache>
                <ptCount val="1"/>
                <pt idx="0">
                  <v>TOTAL 2023</v>
                </pt>
              </strCache>
            </strRef>
          </cat>
          <val>
            <numRef>
              <f>MORTALIDAD!$O$40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MORTALIDAD!$O$24</f>
              <strCache>
                <ptCount val="1"/>
                <pt idx="0">
                  <v>TOTAL 2023</v>
                </pt>
              </strCache>
            </strRef>
          </cat>
          <val>
            <numRef>
              <f>MORTALIDAD!$O$29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MORTALIDAD!$O$24</f>
              <strCache>
                <ptCount val="1"/>
                <pt idx="0">
                  <v>TOTAL 2023</v>
                </pt>
              </strCache>
            </strRef>
          </cat>
          <val>
            <numRef>
              <f>MORTALIDAD!$O$37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MORTALIDAD!$O$24</f>
              <strCache>
                <ptCount val="1"/>
                <pt idx="0">
                  <v>TOTAL 2023</v>
                </pt>
              </strCache>
            </strRef>
          </cat>
          <val>
            <numRef>
              <f>MORTALIDAD!$O$45</f>
              <numCache>
                <formatCode>0%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7283622"/>
        <axId val="1017677304"/>
      </barChart>
      <catAx>
        <axId val="4472836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Gill Sans MT"/>
              </a:defRPr>
            </a:pPr>
            <a:r>
              <a:t>None</a:t>
            </a:r>
            <a:endParaRPr lang="es-CO"/>
          </a:p>
        </txPr>
        <crossAx val="1017677304"/>
        <crosses val="autoZero"/>
        <auto val="1"/>
        <lblAlgn val="ctr"/>
        <lblOffset val="100"/>
        <noMultiLvlLbl val="1"/>
      </catAx>
      <valAx>
        <axId val="1017677304"/>
        <scaling>
          <orientation val="minMax"/>
        </scaling>
        <delete val="0"/>
        <axPos val="l"/>
        <numFmt formatCode="General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447283622"/>
        <crosses val="autoZero"/>
        <crossBetween val="between"/>
      </valAx>
    </plotArea>
    <plotVisOnly val="1"/>
    <dispBlanksAs val="zero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Mortalidad AT año 2023</a:t>
            </a:r>
          </a:p>
        </rich>
      </tx>
      <layout>
        <manualLayout>
          <xMode val="edge"/>
          <yMode val="edge"/>
          <wMode val="factor"/>
          <hMode val="factor"/>
          <x val="0.2673751989287357"/>
          <y val="0.01717791245080794"/>
        </manualLayout>
      </layout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FFC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MORTALIDAD!$C$24:$N$24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MORTALIDAD!$C$29:$N$29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35743757"/>
        <axId val="1459484456"/>
      </barChart>
      <catAx>
        <axId val="33574375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459484456"/>
        <crosses val="autoZero"/>
        <auto val="1"/>
        <lblAlgn val="ctr"/>
        <lblOffset val="100"/>
        <noMultiLvlLbl val="1"/>
      </catAx>
      <valAx>
        <axId val="14594844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mbria"/>
                  </a:defRPr>
                </a:pPr>
                <a:r>
                  <a:rPr lang="es-CO" sz="1000" b="0" i="0">
                    <a:solidFill>
                      <a:srgbClr val="000000"/>
                    </a:solidFill>
                    <a:latin typeface="Cambria"/>
                  </a:rPr>
                  <a:t>Mortalidad</a:t>
                </a:r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335743757"/>
        <crosses val="autoZero"/>
        <crossBetween val="between"/>
      </valAx>
    </plotArea>
    <plotVisOnly val="1"/>
    <dispBlanksAs val="zero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Incidencia EL anual 2023-2025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Años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INCIDENCIA!$O$24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INCIDENCIA!$O$32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INCIDENCIA!$O$24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INCIDENCIA!$O$40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INCIDENCIA!$O$24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INCIDENCIA!$O$29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INCIDENCIA!$O$24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INCIDENCIA!$O$37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INCIDENCIA!$O$24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INCIDENCIA!$O$44</f>
              <numCache>
                <formatCode>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03881696"/>
        <axId val="544122425"/>
      </barChart>
      <catAx>
        <axId val="120388169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544122425"/>
        <crosses val="autoZero"/>
        <auto val="1"/>
        <lblAlgn val="ctr"/>
        <lblOffset val="100"/>
        <noMultiLvlLbl val="1"/>
      </catAx>
      <valAx>
        <axId val="54412242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203881696"/>
        <crosses val="autoZero"/>
        <crossBetween val="between"/>
      </valAx>
    </plotArea>
    <plotVisOnly val="1"/>
    <dispBlanksAs val="zero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Incidencia EL año 2023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INCIDENCIA!$C$24:$N$24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INCIDENCIA!$C$29:$N$29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92242315"/>
        <axId val="146389513"/>
      </barChart>
      <catAx>
        <axId val="99224231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46389513"/>
        <crosses val="autoZero"/>
        <auto val="1"/>
        <lblAlgn val="ctr"/>
        <lblOffset val="100"/>
        <noMultiLvlLbl val="1"/>
      </catAx>
      <valAx>
        <axId val="146389513"/>
        <scaling>
          <orientation val="minMax"/>
        </scaling>
        <delete val="0"/>
        <axPos val="l"/>
        <numFmt formatCode="0%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992242315"/>
        <crosses val="autoZero"/>
        <crossBetween val="between"/>
      </valAx>
    </plotArea>
    <plotVisOnly val="1"/>
    <dispBlanksAs val="zero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Prevalencia EL anual 2023-2025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55844848994962"/>
          <y val="0.122215674395297"/>
          <w val="0.82425871067697"/>
          <h val="0.7446678973315028"/>
        </manualLayout>
      </layout>
      <barChart>
        <barDir val="col"/>
        <grouping val="clustered"/>
        <varyColors val="1"/>
        <ser>
          <idx val="0"/>
          <order val="0"/>
          <tx>
            <v>Años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PREVALENCIA!$O$24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PREVALENCIA!$O$33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PREVALENCIA!$O$24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PREVALENCIA!$O$42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PREVALENCIA!$O$24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PREVALENCIA!$O$30</f>
              <numCache>
                <formatCode>0%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PREVALENCIA!$O$24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PREVALENCIA!$O$39</f>
              <numCache>
                <formatCode>0%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PREVALENCIA!$O$24</f>
              <strCache>
                <ptCount val="1"/>
                <pt idx="0">
                  <v>TOTAL 2023</v>
                </pt>
              </strCache>
            </strRef>
          </cat>
          <val>
            <numRef>
              <f>PREVALENCIA!$O$47</f>
              <numCache>
                <formatCode>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0620021"/>
        <axId val="10416082"/>
      </barChart>
      <catAx>
        <axId val="80062002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0416082"/>
        <crosses val="autoZero"/>
        <auto val="1"/>
        <lblAlgn val="ctr"/>
        <lblOffset val="100"/>
        <noMultiLvlLbl val="1"/>
      </catAx>
      <valAx>
        <axId val="1041608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800620021"/>
        <crosses val="autoZero"/>
        <crossBetween val="between"/>
      </valAx>
    </plotArea>
    <plotVisOnly val="1"/>
    <dispBlanksAs val="zero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Prevalencia EL año 2023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FFC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PREVALENCIA!$C$24:$N$24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PREVALENCIA!$C$28:$N$28</f>
              <numCache>
                <formatCode>#,##0.00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50179170"/>
        <axId val="85131950"/>
      </barChart>
      <catAx>
        <axId val="115017917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85131950"/>
        <crosses val="autoZero"/>
        <auto val="1"/>
        <lblAlgn val="ctr"/>
        <lblOffset val="100"/>
        <noMultiLvlLbl val="1"/>
      </catAx>
      <valAx>
        <axId val="8513195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#,##0.00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150179170"/>
        <crosses val="autoZero"/>
        <crossBetween val="between"/>
      </valAx>
    </plotArea>
    <plotVisOnly val="1"/>
    <dispBlanksAs val="zero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Cambria"/>
              </a:defRPr>
            </a:pPr>
            <a:r>
              <a:rPr lang="es-CO" sz="1600" b="0" i="0">
                <a:solidFill>
                  <a:srgbClr val="757575"/>
                </a:solidFill>
                <a:latin typeface="Cambria"/>
              </a:rPr>
              <a:t>Ausentismo anual 2023-2024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71436784027212"/>
          <y val="0.09799264448867161"/>
          <w val="0.8248563208623706"/>
          <h val="0.7468944391801549"/>
        </manualLayout>
      </layout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AUSENTISMO!$O$24</f>
              <strCache>
                <ptCount val="1"/>
                <pt idx="0">
                  <v>TOTAL 2023</v>
                </pt>
              </strCache>
            </strRef>
          </cat>
          <val>
            <numRef>
              <f>AUSENTISMO!$O$33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AUSENTISMO!$O$24</f>
              <strCache>
                <ptCount val="1"/>
                <pt idx="0">
                  <v>TOTAL 2023</v>
                </pt>
              </strCache>
            </strRef>
          </cat>
          <val>
            <numRef>
              <f>AUSENTISMO!$O$42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AUSENTISMO!$O$24</f>
              <strCache>
                <ptCount val="1"/>
                <pt idx="0">
                  <v>TOTAL 2023</v>
                </pt>
              </strCache>
            </strRef>
          </cat>
          <val>
            <numRef>
              <f>AUSENTISMO!$O$29</f>
              <numCache>
                <formatCode>0.00%</formatCode>
                <ptCount val="1"/>
                <pt idx="0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AUSENTISMO!$O$24</f>
              <strCache>
                <ptCount val="1"/>
                <pt idx="0">
                  <v>TOTAL 2023</v>
                </pt>
              </strCache>
            </strRef>
          </cat>
          <val>
            <numRef>
              <f>AUSENTISMO!$O$38</f>
              <numCache>
                <formatCode>0.00%</formatCode>
                <ptCount val="1"/>
                <pt idx="0">
                  <v>0</v>
                </pt>
              </numCache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AUSENTISMO!$O$24</f>
              <strCache>
                <ptCount val="1"/>
                <pt idx="0">
                  <v>TOTAL 2023</v>
                </pt>
              </strCache>
            </strRef>
          </cat>
          <val>
            <numRef>
              <f>AUSENTISMO!$O$47</f>
              <numCache>
                <formatCode>0.00%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70627584"/>
        <axId val="904159817"/>
      </barChart>
      <catAx>
        <axId val="87062758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904159817"/>
        <crosses val="autoZero"/>
        <auto val="1"/>
        <lblAlgn val="ctr"/>
        <lblOffset val="100"/>
        <noMultiLvlLbl val="1"/>
      </catAx>
      <valAx>
        <axId val="904159817"/>
        <scaling>
          <orientation val="minMax"/>
        </scaling>
        <delete val="0"/>
        <axPos val="l"/>
        <numFmt formatCode="General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870627584"/>
        <crosses val="autoZero"/>
        <crossBetween val="between"/>
      </valAx>
    </plotArea>
    <plotVisOnly val="1"/>
    <dispBlanksAs val="zero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Cambria"/>
              </a:defRPr>
            </a:pPr>
            <a:r>
              <a:rPr lang="es-CO" sz="1600" b="1" i="0">
                <a:solidFill>
                  <a:srgbClr val="757575"/>
                </a:solidFill>
                <a:latin typeface="Cambria"/>
              </a:rPr>
              <a:t>Ausentismo año 2023</a:t>
            </a:r>
          </a:p>
        </rich>
      </tx>
      <layout>
        <manualLayout>
          <xMode val="edge"/>
          <yMode val="edge"/>
          <wMode val="factor"/>
          <hMode val="factor"/>
          <x val="0.4149609248076485"/>
          <y val="0.01145194163387196"/>
        </manualLayout>
      </layout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AUSENTISMO!$C$24:$N$24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AUSENTISMO!$C$29:$N$29</f>
              <numCache>
                <formatCode>0.00%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1896038"/>
        <axId val="157819091"/>
      </barChart>
      <catAx>
        <axId val="50189603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O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mbria"/>
              </a:defRPr>
            </a:pPr>
            <a:r>
              <a:t>None</a:t>
            </a:r>
            <a:endParaRPr lang="es-CO"/>
          </a:p>
        </txPr>
        <crossAx val="157819091"/>
        <crosses val="autoZero"/>
        <auto val="1"/>
        <lblAlgn val="ctr"/>
        <lblOffset val="100"/>
        <noMultiLvlLbl val="1"/>
      </catAx>
      <valAx>
        <axId val="157819091"/>
        <scaling>
          <orientation val="minMax"/>
        </scaling>
        <delete val="0"/>
        <axPos val="l"/>
        <numFmt formatCode="0.00%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501896038"/>
        <crosses val="autoZero"/>
        <crossBetween val="between"/>
      </valAx>
    </plotArea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32" authorId="0" shapeId="0">
      <text>
        <t>======
ID#AAAA7k4orYU
KAROL    (2023-10-03 18:10:36)
%PCL: Perdida de la Capacidad Laboral</t>
      </text>
    </comment>
    <comment ref="B42" authorId="0" shapeId="0">
      <text>
        <t>======
ID#AAAA7k4orYY
KAROL    (2023-10-03 18:10:36)
%PCL: Perdida de la Capacidad Laboral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oneCellAnchor>
    <from>
      <col>1</col>
      <colOff>114300</colOff>
      <row>22</row>
      <rowOff>38100</rowOff>
    </from>
    <ext cx="8696325" cy="27241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114300</colOff>
      <row>22</row>
      <rowOff>38100</rowOff>
    </from>
    <ext cx="4714875" cy="4267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257175</colOff>
      <row>22</row>
      <rowOff>66675</rowOff>
    </from>
    <ext cx="5048250" cy="40576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161925</colOff>
      <row>57</row>
      <rowOff>323850</rowOff>
    </from>
    <ext cx="5857875" cy="42100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9</col>
      <colOff>133350</colOff>
      <row>57</row>
      <rowOff>285750</rowOff>
    </from>
    <ext cx="5638800" cy="42576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9</col>
      <colOff>133350</colOff>
      <row>48</row>
      <rowOff>190500</rowOff>
    </from>
    <ext cx="5286375" cy="4352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285750</colOff>
      <row>48</row>
      <rowOff>228600</rowOff>
    </from>
    <ext cx="6115050" cy="4429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9</col>
      <colOff>104775</colOff>
      <row>47</row>
      <rowOff>95250</rowOff>
    </from>
    <ext cx="5438775" cy="4352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190500</colOff>
      <row>47</row>
      <rowOff>247650</rowOff>
    </from>
    <ext cx="5838825" cy="4429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9</col>
      <colOff>133350</colOff>
      <row>47</row>
      <rowOff>190500</rowOff>
    </from>
    <ext cx="5467350" cy="4352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190500</colOff>
      <row>47</row>
      <rowOff>209550</rowOff>
    </from>
    <ext cx="5848350" cy="4429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7.xml><?xml version="1.0" encoding="utf-8"?>
<wsDr xmlns="http://schemas.openxmlformats.org/drawingml/2006/spreadsheetDrawing">
  <oneCellAnchor>
    <from>
      <col>9</col>
      <colOff>133350</colOff>
      <row>50</row>
      <rowOff>190500</rowOff>
    </from>
    <ext cx="5467350" cy="4352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190500</colOff>
      <row>50</row>
      <rowOff>209550</rowOff>
    </from>
    <ext cx="5848350" cy="4429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8.xml><?xml version="1.0" encoding="utf-8"?>
<wsDr xmlns="http://schemas.openxmlformats.org/drawingml/2006/spreadsheetDrawing">
  <oneCellAnchor>
    <from>
      <col>9</col>
      <colOff>476250</colOff>
      <row>50</row>
      <rowOff>114300</rowOff>
    </from>
    <ext cx="5457825" cy="4343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190500</colOff>
      <row>50</row>
      <rowOff>209550</rowOff>
    </from>
    <ext cx="5772150" cy="4429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showGridLines="0" tabSelected="1" workbookViewId="0">
      <selection activeCell="A6" sqref="A6:XFD6"/>
    </sheetView>
  </sheetViews>
  <sheetFormatPr baseColWidth="10" defaultColWidth="14.44140625" defaultRowHeight="15" customHeight="1"/>
  <cols>
    <col width="0.88671875" customWidth="1" style="99" min="1" max="1"/>
    <col width="18" customWidth="1" style="99" min="2" max="3"/>
    <col width="8.6640625" customWidth="1" style="99" min="4" max="4"/>
    <col width="10.88671875" customWidth="1" style="99" min="5" max="5"/>
    <col width="8.6640625" customWidth="1" style="99" min="6" max="13"/>
    <col width="11" customWidth="1" style="99" min="14" max="14"/>
    <col width="1.5546875" customWidth="1" style="99" min="15" max="15"/>
    <col width="11.33203125" customWidth="1" style="99" min="16" max="26"/>
  </cols>
  <sheetData>
    <row r="1" ht="4.5" customHeight="1" s="9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80" t="inlineStr">
        <is>
          <t>FECHA: 01/02/2026</t>
        </is>
      </c>
      <c r="O2" s="17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5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6.75" customHeight="1" s="99">
      <c r="A4" s="1" t="n"/>
      <c r="B4" s="186" t="n"/>
      <c r="C4" s="187" t="n"/>
      <c r="D4" s="177" t="inlineStr">
        <is>
          <t>INDICADORES DE GESTIÓN DE SEGURIDAD Y SALUD EN EL TRABAJO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180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" customHeight="1" s="99">
      <c r="A5" s="1" t="n"/>
      <c r="B5" s="190" t="n"/>
      <c r="N5" s="19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9.5" customHeight="1" s="99">
      <c r="A6" s="1" t="n"/>
      <c r="B6" s="192" t="inlineStr">
        <is>
          <t>OBJETIVO:</t>
        </is>
      </c>
      <c r="C6" s="193" t="n"/>
      <c r="D6" s="194" t="inlineStr">
        <is>
          <t>Establecer el grado de ejecución de las inspecciones de seguridad realizada a las diferentes actividades de laboratorios LT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3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99">
      <c r="A7" s="1" t="n"/>
      <c r="B7" s="196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.75" customHeight="1" s="99">
      <c r="A8" s="1" t="n"/>
      <c r="B8" s="197" t="inlineStr">
        <is>
          <t>ESTRUCTURA DEL INDICADOR</t>
        </is>
      </c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  <c r="L8" s="188" t="n"/>
      <c r="M8" s="188" t="n"/>
      <c r="N8" s="189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9">
      <c r="A9" s="3" t="n"/>
      <c r="B9" s="198" t="inlineStr">
        <is>
          <t>NOMBRE DEL INDICADOR:</t>
        </is>
      </c>
      <c r="C9" s="189" t="n"/>
      <c r="D9" s="180" t="inlineStr">
        <is>
          <t>Cumplimiento inspecciones de seguridad</t>
        </is>
      </c>
      <c r="E9" s="188" t="n"/>
      <c r="F9" s="188" t="n"/>
      <c r="G9" s="188" t="n"/>
      <c r="H9" s="188" t="n"/>
      <c r="I9" s="188" t="n"/>
      <c r="J9" s="188" t="n"/>
      <c r="K9" s="188" t="n"/>
      <c r="L9" s="188" t="n"/>
      <c r="M9" s="188" t="n"/>
      <c r="N9" s="189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9.5" customHeight="1" s="99">
      <c r="A10" s="3" t="n"/>
      <c r="B10" s="198" t="inlineStr">
        <is>
          <t>PROCESO:</t>
        </is>
      </c>
      <c r="C10" s="189" t="n"/>
      <c r="D10" s="180" t="inlineStr">
        <is>
          <t>Seguridad y Salud en el Trabajo</t>
        </is>
      </c>
      <c r="E10" s="188" t="n"/>
      <c r="F10" s="188" t="n"/>
      <c r="G10" s="188" t="n"/>
      <c r="H10" s="188" t="n"/>
      <c r="I10" s="188" t="n"/>
      <c r="J10" s="188" t="n"/>
      <c r="K10" s="188" t="n"/>
      <c r="L10" s="188" t="n"/>
      <c r="M10" s="188" t="n"/>
      <c r="N10" s="189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9.5" customHeight="1" s="99">
      <c r="A11" s="3" t="n"/>
      <c r="B11" s="198" t="inlineStr">
        <is>
          <t>RESPONSABLE:</t>
        </is>
      </c>
      <c r="C11" s="189" t="n"/>
      <c r="D11" s="8" t="inlineStr">
        <is>
          <t>Vigia Copasst</t>
        </is>
      </c>
      <c r="E11" s="188" t="n"/>
      <c r="F11" s="188" t="n"/>
      <c r="G11" s="188" t="n"/>
      <c r="H11" s="188" t="n"/>
      <c r="I11" s="188" t="n"/>
      <c r="J11" s="188" t="n"/>
      <c r="K11" s="188" t="n"/>
      <c r="L11" s="188" t="n"/>
      <c r="M11" s="188" t="n"/>
      <c r="N11" s="189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9.5" customHeight="1" s="99">
      <c r="A12" s="3" t="n"/>
      <c r="B12" s="198" t="inlineStr">
        <is>
          <t>CONOCER EL RESULTADO:</t>
        </is>
      </c>
      <c r="C12" s="189" t="n"/>
      <c r="D12" s="180" t="inlineStr">
        <is>
          <t>COPASST, Gerencia, Responsable SG-SST</t>
        </is>
      </c>
      <c r="E12" s="188" t="n"/>
      <c r="F12" s="188" t="n"/>
      <c r="G12" s="188" t="n"/>
      <c r="H12" s="188" t="n"/>
      <c r="I12" s="188" t="n"/>
      <c r="J12" s="188" t="n"/>
      <c r="K12" s="188" t="n"/>
      <c r="L12" s="188" t="n"/>
      <c r="M12" s="188" t="n"/>
      <c r="N12" s="189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9.5" customHeight="1" s="99">
      <c r="A13" s="3" t="n"/>
      <c r="B13" s="199" t="inlineStr">
        <is>
          <t>RANGOS DE MEDICIÓN Y META:</t>
        </is>
      </c>
      <c r="C13" s="179" t="n"/>
      <c r="D13" s="4" t="inlineStr">
        <is>
          <t>&gt;=</t>
        </is>
      </c>
      <c r="E13" s="5" t="n">
        <v>0.8</v>
      </c>
      <c r="F13" s="6" t="inlineStr">
        <is>
          <t>CUMPLE</t>
        </is>
      </c>
      <c r="G13" s="6" t="n"/>
      <c r="H13" s="7" t="inlineStr">
        <is>
          <t>META</t>
        </is>
      </c>
      <c r="I13" s="5" t="n"/>
      <c r="J13" s="8" t="n"/>
      <c r="K13" s="4" t="n"/>
      <c r="L13" s="4" t="n"/>
      <c r="M13" s="4" t="n"/>
      <c r="N13" s="4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9.5" customHeight="1" s="99">
      <c r="A14" s="3" t="n"/>
      <c r="B14" s="183" t="n"/>
      <c r="C14" s="185" t="n"/>
      <c r="D14" s="5" t="inlineStr">
        <is>
          <t>&lt;</t>
        </is>
      </c>
      <c r="E14" s="5" t="n">
        <v>0.79</v>
      </c>
      <c r="F14" s="9" t="inlineStr">
        <is>
          <t>NO CUMPLE</t>
        </is>
      </c>
      <c r="G14" s="9" t="n"/>
      <c r="H14" s="8" t="n"/>
      <c r="I14" s="8" t="n"/>
      <c r="J14" s="8" t="n"/>
      <c r="K14" s="5" t="n"/>
      <c r="L14" s="5" t="n"/>
      <c r="M14" s="5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9.5" customHeight="1" s="99">
      <c r="A15" s="3" t="n"/>
      <c r="B15" s="198" t="inlineStr">
        <is>
          <t>ORIGEN DE LA INFORMACIÓN:</t>
        </is>
      </c>
      <c r="C15" s="189" t="n"/>
      <c r="D15" s="180" t="inlineStr">
        <is>
          <t>Plan de inspecciones de seguridad, registros de inspecciones</t>
        </is>
      </c>
      <c r="E15" s="188" t="n"/>
      <c r="F15" s="188" t="n"/>
      <c r="G15" s="188" t="n"/>
      <c r="H15" s="188" t="n"/>
      <c r="I15" s="188" t="n"/>
      <c r="J15" s="188" t="n"/>
      <c r="K15" s="188" t="n"/>
      <c r="L15" s="188" t="n"/>
      <c r="M15" s="188" t="n"/>
      <c r="N15" s="189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9.5" customHeight="1" s="99">
      <c r="A16" s="3" t="n"/>
      <c r="B16" s="198" t="inlineStr">
        <is>
          <t>FORMULA:</t>
        </is>
      </c>
      <c r="C16" s="189" t="n"/>
      <c r="D16" s="180" t="inlineStr">
        <is>
          <t># inspecciones de seguridad ejecutadas / Total inspecciones planeadas *100</t>
        </is>
      </c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9.5" customHeight="1" s="99">
      <c r="A17" s="3" t="n"/>
      <c r="B17" s="198" t="inlineStr">
        <is>
          <t>TÉCNICA ESTADÍSTICA:</t>
        </is>
      </c>
      <c r="C17" s="189" t="n"/>
      <c r="D17" s="180" t="inlineStr">
        <is>
          <t>Grafico de barras</t>
        </is>
      </c>
      <c r="E17" s="188" t="n"/>
      <c r="F17" s="188" t="n"/>
      <c r="G17" s="188" t="n"/>
      <c r="H17" s="188" t="n"/>
      <c r="I17" s="188" t="n"/>
      <c r="J17" s="188" t="n"/>
      <c r="K17" s="188" t="n"/>
      <c r="L17" s="188" t="n"/>
      <c r="M17" s="188" t="n"/>
      <c r="N17" s="189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9.5" customHeight="1" s="99">
      <c r="A18" s="3" t="n"/>
      <c r="B18" s="198" t="inlineStr">
        <is>
          <t>FRECUENCIA:</t>
        </is>
      </c>
      <c r="C18" s="189" t="n"/>
      <c r="D18" s="180" t="inlineStr">
        <is>
          <t>Semestral</t>
        </is>
      </c>
      <c r="E18" s="188" t="n"/>
      <c r="F18" s="188" t="n"/>
      <c r="G18" s="188" t="n"/>
      <c r="H18" s="188" t="n"/>
      <c r="I18" s="188" t="n"/>
      <c r="J18" s="188" t="n"/>
      <c r="K18" s="188" t="n"/>
      <c r="L18" s="188" t="n"/>
      <c r="M18" s="188" t="n"/>
      <c r="N18" s="189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9.5" customHeight="1" s="99">
      <c r="A19" s="3" t="n"/>
      <c r="B19" s="198" t="inlineStr">
        <is>
          <t>TENDENCIA:</t>
        </is>
      </c>
      <c r="C19" s="189" t="n"/>
      <c r="D19" s="180" t="inlineStr">
        <is>
          <t>Ascendente</t>
        </is>
      </c>
      <c r="E19" s="188" t="n"/>
      <c r="F19" s="188" t="n"/>
      <c r="G19" s="188" t="n"/>
      <c r="H19" s="188" t="n"/>
      <c r="I19" s="188" t="n"/>
      <c r="J19" s="188" t="n"/>
      <c r="K19" s="188" t="n"/>
      <c r="L19" s="188" t="n"/>
      <c r="M19" s="188" t="n"/>
      <c r="N19" s="189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99">
      <c r="A20" s="3" t="n"/>
      <c r="B20" s="198" t="inlineStr">
        <is>
          <t>UNIDAD DE MEDIDA:</t>
        </is>
      </c>
      <c r="C20" s="189" t="n"/>
      <c r="D20" s="180" t="inlineStr">
        <is>
          <t>%</t>
        </is>
      </c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9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8.25" customHeight="1" s="99">
      <c r="A21" s="1" t="n"/>
      <c r="B21" s="200" t="n"/>
      <c r="C21" s="201" t="n"/>
      <c r="D21" s="201" t="n"/>
      <c r="E21" s="201" t="n"/>
      <c r="F21" s="201" t="n"/>
      <c r="G21" s="201" t="n"/>
      <c r="H21" s="201" t="n"/>
      <c r="I21" s="201" t="n"/>
      <c r="J21" s="201" t="n"/>
      <c r="K21" s="201" t="n"/>
      <c r="L21" s="201" t="n"/>
      <c r="M21" s="201" t="n"/>
      <c r="N21" s="187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99">
      <c r="A22" s="1" t="n"/>
      <c r="B22" s="202" t="inlineStr">
        <is>
          <t>GRAFICA DEL INDICADOR</t>
        </is>
      </c>
      <c r="C22" s="203" t="n"/>
      <c r="D22" s="203" t="n"/>
      <c r="E22" s="203" t="n"/>
      <c r="F22" s="203" t="n"/>
      <c r="G22" s="203" t="n"/>
      <c r="H22" s="203" t="n"/>
      <c r="I22" s="203" t="n"/>
      <c r="J22" s="203" t="n"/>
      <c r="K22" s="203" t="n"/>
      <c r="L22" s="203" t="n"/>
      <c r="M22" s="203" t="n"/>
      <c r="N22" s="176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99">
      <c r="A23" s="1" t="n"/>
      <c r="B23" s="200" t="n"/>
      <c r="N23" s="182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99">
      <c r="A24" s="1" t="n"/>
      <c r="B24" s="181" t="n"/>
      <c r="N24" s="182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99">
      <c r="A25" s="1" t="n"/>
      <c r="B25" s="181" t="n"/>
      <c r="N25" s="182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181" t="n"/>
      <c r="N26" s="182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181" t="n"/>
      <c r="N27" s="182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181" t="n"/>
      <c r="N28" s="182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99">
      <c r="A29" s="1" t="n"/>
      <c r="B29" s="181" t="n"/>
      <c r="N29" s="182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99">
      <c r="A30" s="1" t="n"/>
      <c r="B30" s="181" t="n"/>
      <c r="N30" s="182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99">
      <c r="A31" s="1" t="n"/>
      <c r="B31" s="181" t="n"/>
      <c r="N31" s="182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181" t="n"/>
      <c r="N32" s="182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181" t="n"/>
      <c r="N33" s="182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181" t="n"/>
      <c r="N34" s="182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181" t="n"/>
      <c r="N35" s="182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99">
      <c r="A36" s="1" t="n"/>
      <c r="B36" s="181" t="n"/>
      <c r="N36" s="182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181" t="n"/>
      <c r="N37" s="182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99">
      <c r="A38" s="1" t="n"/>
      <c r="B38" s="186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187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7.5" customHeight="1" s="99">
      <c r="A39" s="1" t="n"/>
      <c r="B39" s="190" t="n"/>
      <c r="N39" s="19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99">
      <c r="A40" s="1" t="n"/>
      <c r="B40" s="204" t="inlineStr">
        <is>
          <t>DATOS DE MEDICIÓN</t>
        </is>
      </c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3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10" t="inlineStr">
        <is>
          <t>PARÁMETROS</t>
        </is>
      </c>
      <c r="C41" s="11" t="inlineStr">
        <is>
          <t>2023-1</t>
        </is>
      </c>
      <c r="D41" s="11" t="inlineStr">
        <is>
          <t>2023-2</t>
        </is>
      </c>
      <c r="E41" s="11" t="inlineStr">
        <is>
          <t>2024-1</t>
        </is>
      </c>
      <c r="F41" s="11" t="inlineStr">
        <is>
          <t>2024-2</t>
        </is>
      </c>
      <c r="G41" s="11" t="inlineStr">
        <is>
          <t>2025-1</t>
        </is>
      </c>
      <c r="H41" s="11" t="inlineStr">
        <is>
          <t>2025-2</t>
        </is>
      </c>
      <c r="I41" s="11" t="n"/>
      <c r="J41" s="11" t="n"/>
      <c r="K41" s="11" t="n"/>
      <c r="L41" s="11" t="n"/>
      <c r="M41" s="11" t="n"/>
      <c r="N41" s="1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12" t="inlineStr">
        <is>
          <t>Inspecciones ejecutadas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12" t="inlineStr">
        <is>
          <t>Inspecciones planeadas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12" t="inlineStr">
        <is>
          <t>Cumplimiento inspecciones de seguridad</t>
        </is>
      </c>
      <c r="C44" s="14">
        <f>IFERROR(C42/C43,0)</f>
        <v/>
      </c>
      <c r="D44" s="14">
        <f>IFERROR(D42/D43,0)</f>
        <v/>
      </c>
      <c r="E44" s="14">
        <f>IFERROR(E42/E43,0)</f>
        <v/>
      </c>
      <c r="F44" s="14">
        <f>IFERROR(F42/F43,0)</f>
        <v/>
      </c>
      <c r="G44" s="14">
        <f>IFERROR(G42/G43,0)</f>
        <v/>
      </c>
      <c r="H44" s="14">
        <f>IFERROR(H42/H43,0)</f>
        <v/>
      </c>
      <c r="I44" s="14">
        <f>IFERROR(I42/I43,0)</f>
        <v/>
      </c>
      <c r="J44" s="14">
        <f>IFERROR(J42/J43,0)</f>
        <v/>
      </c>
      <c r="K44" s="14">
        <f>IFERROR(K42/K43,0)</f>
        <v/>
      </c>
      <c r="L44" s="14">
        <f>IFERROR(L42/L43,0)</f>
        <v/>
      </c>
      <c r="M44" s="14">
        <f>IFERROR(M42/M43,0)</f>
        <v/>
      </c>
      <c r="N44" s="14">
        <f>IFERROR(N42/N43,0)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15" t="inlineStr">
        <is>
          <t>Meta</t>
        </is>
      </c>
      <c r="C45" s="14">
        <f>$E$13</f>
        <v/>
      </c>
      <c r="D45" s="14">
        <f>$E$13</f>
        <v/>
      </c>
      <c r="E45" s="14">
        <f>$E$13</f>
        <v/>
      </c>
      <c r="F45" s="14">
        <f>$E$13</f>
        <v/>
      </c>
      <c r="G45" s="14">
        <f>$E$13</f>
        <v/>
      </c>
      <c r="H45" s="14">
        <f>$E$13</f>
        <v/>
      </c>
      <c r="I45" s="14">
        <f>$E$13</f>
        <v/>
      </c>
      <c r="J45" s="14">
        <f>$E$13</f>
        <v/>
      </c>
      <c r="K45" s="14">
        <f>$E$13</f>
        <v/>
      </c>
      <c r="L45" s="14">
        <f>$E$13</f>
        <v/>
      </c>
      <c r="M45" s="14">
        <f>$E$13</f>
        <v/>
      </c>
      <c r="N45" s="14">
        <f>$E$13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6" customHeight="1" s="99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4.25" customHeight="1" s="99">
      <c r="A47" s="1" t="n"/>
      <c r="B47" s="205" t="inlineStr">
        <is>
          <t>ANÁLISIS</t>
        </is>
      </c>
      <c r="C47" s="195" t="n"/>
      <c r="D47" s="195" t="n"/>
      <c r="E47" s="195" t="n"/>
      <c r="F47" s="195" t="n"/>
      <c r="G47" s="193" t="n"/>
      <c r="H47" s="205" t="inlineStr">
        <is>
          <t>ACCIONES DE MEJORA</t>
        </is>
      </c>
      <c r="I47" s="195" t="n"/>
      <c r="J47" s="195" t="n"/>
      <c r="K47" s="195" t="n"/>
      <c r="L47" s="195" t="n"/>
      <c r="M47" s="195" t="n"/>
      <c r="N47" s="193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35.25" customHeight="1" s="99">
      <c r="A48" s="1" t="n"/>
      <c r="B48" s="194" t="n"/>
      <c r="C48" s="195" t="n"/>
      <c r="D48" s="195" t="n"/>
      <c r="E48" s="195" t="n"/>
      <c r="F48" s="195" t="n"/>
      <c r="G48" s="193" t="n"/>
      <c r="H48" s="206" t="n"/>
      <c r="I48" s="195" t="n"/>
      <c r="J48" s="195" t="n"/>
      <c r="K48" s="195" t="n"/>
      <c r="L48" s="195" t="n"/>
      <c r="M48" s="195" t="n"/>
      <c r="N48" s="193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5.25" customHeight="1" s="99">
      <c r="A49" s="1" t="n"/>
      <c r="B49" s="194" t="n"/>
      <c r="C49" s="195" t="n"/>
      <c r="D49" s="195" t="n"/>
      <c r="E49" s="195" t="n"/>
      <c r="F49" s="195" t="n"/>
      <c r="G49" s="193" t="n"/>
      <c r="H49" s="206" t="n"/>
      <c r="I49" s="195" t="n"/>
      <c r="J49" s="195" t="n"/>
      <c r="K49" s="195" t="n"/>
      <c r="L49" s="195" t="n"/>
      <c r="M49" s="195" t="n"/>
      <c r="N49" s="193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5.25" customHeight="1" s="99">
      <c r="A50" s="1" t="n"/>
      <c r="B50" s="194" t="n"/>
      <c r="C50" s="195" t="n"/>
      <c r="D50" s="195" t="n"/>
      <c r="E50" s="195" t="n"/>
      <c r="F50" s="195" t="n"/>
      <c r="G50" s="193" t="n"/>
      <c r="H50" s="206" t="n"/>
      <c r="I50" s="195" t="n"/>
      <c r="J50" s="195" t="n"/>
      <c r="K50" s="195" t="n"/>
      <c r="L50" s="195" t="n"/>
      <c r="M50" s="195" t="n"/>
      <c r="N50" s="193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5.25" customHeight="1" s="99">
      <c r="A51" s="1" t="n"/>
      <c r="B51" s="194" t="n"/>
      <c r="C51" s="195" t="n"/>
      <c r="D51" s="195" t="n"/>
      <c r="E51" s="195" t="n"/>
      <c r="F51" s="195" t="n"/>
      <c r="G51" s="193" t="n"/>
      <c r="H51" s="206" t="n"/>
      <c r="I51" s="195" t="n"/>
      <c r="J51" s="195" t="n"/>
      <c r="K51" s="195" t="n"/>
      <c r="L51" s="195" t="n"/>
      <c r="M51" s="195" t="n"/>
      <c r="N51" s="193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5.25" customHeight="1" s="99">
      <c r="A52" s="1" t="n"/>
      <c r="B52" s="194" t="n"/>
      <c r="C52" s="195" t="n"/>
      <c r="D52" s="195" t="n"/>
      <c r="E52" s="195" t="n"/>
      <c r="F52" s="195" t="n"/>
      <c r="G52" s="193" t="n"/>
      <c r="H52" s="206" t="n"/>
      <c r="I52" s="195" t="n"/>
      <c r="J52" s="195" t="n"/>
      <c r="K52" s="195" t="n"/>
      <c r="L52" s="195" t="n"/>
      <c r="M52" s="195" t="n"/>
      <c r="N52" s="193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5.25" customHeight="1" s="99">
      <c r="A53" s="1" t="n"/>
      <c r="B53" s="194" t="n"/>
      <c r="C53" s="195" t="n"/>
      <c r="D53" s="195" t="n"/>
      <c r="E53" s="195" t="n"/>
      <c r="F53" s="195" t="n"/>
      <c r="G53" s="193" t="n"/>
      <c r="H53" s="206" t="n"/>
      <c r="I53" s="195" t="n"/>
      <c r="J53" s="195" t="n"/>
      <c r="K53" s="195" t="n"/>
      <c r="L53" s="195" t="n"/>
      <c r="M53" s="195" t="n"/>
      <c r="N53" s="193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9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9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9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9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9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9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2">
    <mergeCell ref="B13:C14"/>
    <mergeCell ref="B16:C16"/>
    <mergeCell ref="D20:N20"/>
    <mergeCell ref="D4:M4"/>
    <mergeCell ref="H47:N47"/>
    <mergeCell ref="B54:I54"/>
    <mergeCell ref="B40:N40"/>
    <mergeCell ref="D19:N19"/>
    <mergeCell ref="D10:N10"/>
    <mergeCell ref="H48:N48"/>
    <mergeCell ref="B53:G53"/>
    <mergeCell ref="B18:C18"/>
    <mergeCell ref="D2:M3"/>
    <mergeCell ref="B12:C12"/>
    <mergeCell ref="J54:O54"/>
    <mergeCell ref="B5:N5"/>
    <mergeCell ref="D6:N6"/>
    <mergeCell ref="B11:C11"/>
    <mergeCell ref="B2:C4"/>
    <mergeCell ref="H53:N53"/>
    <mergeCell ref="B49:G49"/>
    <mergeCell ref="D11:N11"/>
    <mergeCell ref="B17:C17"/>
    <mergeCell ref="B7:N7"/>
    <mergeCell ref="H50:N50"/>
    <mergeCell ref="D17:N17"/>
    <mergeCell ref="B51:G51"/>
    <mergeCell ref="B22:N22"/>
    <mergeCell ref="D16:N16"/>
    <mergeCell ref="B19:C19"/>
    <mergeCell ref="B10:C10"/>
    <mergeCell ref="B50:G50"/>
    <mergeCell ref="B21:N21"/>
    <mergeCell ref="B39:N39"/>
    <mergeCell ref="B9:C9"/>
    <mergeCell ref="D18:N18"/>
    <mergeCell ref="H51:N51"/>
    <mergeCell ref="B47:G47"/>
    <mergeCell ref="H49:N49"/>
    <mergeCell ref="D9:N9"/>
    <mergeCell ref="D12:N12"/>
    <mergeCell ref="B6:C6"/>
    <mergeCell ref="B15:C15"/>
    <mergeCell ref="H52:N52"/>
    <mergeCell ref="B8:N8"/>
    <mergeCell ref="B20:C20"/>
    <mergeCell ref="D15:N15"/>
    <mergeCell ref="N2:O3"/>
    <mergeCell ref="B23:N38"/>
    <mergeCell ref="B52:G52"/>
    <mergeCell ref="B48:G48"/>
    <mergeCell ref="N4:O4"/>
  </mergeCells>
  <conditionalFormatting sqref="C44:N44">
    <cfRule type="cellIs" priority="1" operator="greaterThanOrEqual" dxfId="0">
      <formula>C45</formula>
    </cfRule>
    <cfRule type="cellIs" priority="2" operator="lessThan" dxfId="1">
      <formula>C45</formula>
    </cfRule>
  </conditionalFormatting>
  <conditionalFormatting sqref="D44:F44">
    <cfRule type="cellIs" priority="3" operator="greaterThanOrEqual" dxfId="0">
      <formula>D45</formula>
    </cfRule>
    <cfRule type="cellIs" priority="4" operator="lessThan" dxfId="1">
      <formula>D45</formula>
    </cfRule>
  </conditionalFormatting>
  <pageMargins left="0.5118110236220472" right="0.5118110236220472" top="0.5511811023622047" bottom="0.3543307086614174" header="0" footer="0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2F2F2"/>
    <outlinePr summaryBelow="1" summaryRight="1"/>
    <pageSetUpPr/>
  </sheetPr>
  <dimension ref="A1:Z999"/>
  <sheetViews>
    <sheetView showGridLines="0" workbookViewId="0">
      <selection activeCell="A6" sqref="A6:XFD6"/>
    </sheetView>
  </sheetViews>
  <sheetFormatPr baseColWidth="10" defaultColWidth="14.44140625" defaultRowHeight="15" customHeight="1"/>
  <cols>
    <col width="2.109375" customWidth="1" style="99" min="1" max="1"/>
    <col width="18" customWidth="1" style="99" min="2" max="2"/>
    <col width="14.5546875" customWidth="1" style="99" min="3" max="3"/>
    <col width="10.5546875" customWidth="1" style="99" min="4" max="5"/>
    <col width="13.109375" customWidth="1" style="99" min="6" max="6"/>
    <col width="6.33203125" customWidth="1" style="99" min="7" max="7"/>
    <col width="6.5546875" customWidth="1" style="99" min="8" max="8"/>
    <col width="9.88671875" customWidth="1" style="99" min="9" max="12"/>
    <col width="11.88671875" customWidth="1" style="99" min="13" max="13"/>
    <col width="12.5546875" customWidth="1" style="99" min="14" max="14"/>
    <col width="11" customWidth="1" style="99" min="15" max="15"/>
    <col width="11.33203125" customWidth="1" style="99" min="16" max="26"/>
  </cols>
  <sheetData>
    <row r="1" ht="4.5" customHeight="1" s="99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99">
      <c r="A2" s="3" t="n"/>
      <c r="B2" s="207" t="n"/>
      <c r="C2" s="176" t="n"/>
      <c r="D2" s="208" t="inlineStr">
        <is>
          <t>SISTEMA DE GESTIÓN DE SEGURIDAD Y SALUD EN EL TRABAJO</t>
        </is>
      </c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180" t="inlineStr">
        <is>
          <t>FECHA: 01/02/2026</t>
        </is>
      </c>
      <c r="O2" s="179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0" customHeight="1" s="99">
      <c r="A3" s="3" t="n"/>
      <c r="B3" s="181" t="n"/>
      <c r="C3" s="182" t="n"/>
      <c r="D3" s="186" t="n"/>
      <c r="E3" s="201" t="n"/>
      <c r="F3" s="201" t="n"/>
      <c r="G3" s="201" t="n"/>
      <c r="H3" s="201" t="n"/>
      <c r="I3" s="201" t="n"/>
      <c r="J3" s="201" t="n"/>
      <c r="K3" s="201" t="n"/>
      <c r="L3" s="201" t="n"/>
      <c r="M3" s="201" t="n"/>
      <c r="N3" s="183" t="n"/>
      <c r="O3" s="185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2.25" customHeight="1" s="99">
      <c r="A4" s="3" t="n"/>
      <c r="B4" s="186" t="n"/>
      <c r="C4" s="187" t="n"/>
      <c r="D4" s="208" t="inlineStr">
        <is>
          <t xml:space="preserve">INDICADORES SST </t>
        </is>
      </c>
      <c r="E4" s="195" t="n"/>
      <c r="F4" s="195" t="n"/>
      <c r="G4" s="195" t="n"/>
      <c r="H4" s="195" t="n"/>
      <c r="I4" s="195" t="n"/>
      <c r="J4" s="195" t="n"/>
      <c r="K4" s="195" t="n"/>
      <c r="L4" s="195" t="n"/>
      <c r="M4" s="195" t="n"/>
      <c r="N4" s="180" t="inlineStr">
        <is>
          <t>VERSIÓN: 1</t>
        </is>
      </c>
      <c r="O4" s="189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" customHeight="1" s="99">
      <c r="A5" s="3" t="n"/>
      <c r="B5" s="209" t="n"/>
      <c r="C5" s="203" t="n"/>
      <c r="D5" s="203" t="n"/>
      <c r="E5" s="203" t="n"/>
      <c r="F5" s="203" t="n"/>
      <c r="G5" s="203" t="n"/>
      <c r="H5" s="203" t="n"/>
      <c r="I5" s="203" t="n"/>
      <c r="J5" s="203" t="n"/>
      <c r="K5" s="203" t="n"/>
      <c r="L5" s="203" t="n"/>
      <c r="M5" s="203" t="n"/>
      <c r="N5" s="210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5.25" customHeight="1" s="99">
      <c r="A6" s="3" t="n"/>
      <c r="B6" s="211" t="inlineStr">
        <is>
          <t>OBJETIVO:</t>
        </is>
      </c>
      <c r="C6" s="193" t="n"/>
      <c r="D6" s="194" t="inlineStr">
        <is>
          <t>Determinar el grado de cumplimiento del plan de capacitación en Seguridad y Salud en el trabajo de Laboratorio LT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6.75" customHeight="1" s="99">
      <c r="A7" s="3" t="n"/>
      <c r="B7" s="212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8.75" customHeight="1" s="99">
      <c r="A8" s="3" t="n"/>
      <c r="B8" s="211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9.5" customHeight="1" s="99">
      <c r="A9" s="3" t="n"/>
      <c r="B9" s="213" t="inlineStr">
        <is>
          <t>NOMBRE DEL INDICADOR:</t>
        </is>
      </c>
      <c r="C9" s="187" t="n"/>
      <c r="D9" s="214" t="inlineStr">
        <is>
          <t>Cumplimiento del plan de capacitación SST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9.5" customHeight="1" s="99">
      <c r="A10" s="3" t="n"/>
      <c r="B10" s="215" t="inlineStr">
        <is>
          <t>PROCESO:</t>
        </is>
      </c>
      <c r="C10" s="193" t="n"/>
      <c r="D10" s="214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9.5" customHeight="1" s="99">
      <c r="A11" s="3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9.5" customHeight="1" s="99">
      <c r="A12" s="3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9.5" customHeight="1" s="99">
      <c r="A13" s="3" t="n"/>
      <c r="B13" s="217" t="inlineStr">
        <is>
          <t>RANGOS DE MEDICIÓN Y META:</t>
        </is>
      </c>
      <c r="C13" s="176" t="n"/>
      <c r="D13" s="19" t="inlineStr">
        <is>
          <t>&gt;=</t>
        </is>
      </c>
      <c r="E13" s="20" t="n">
        <v>0.8</v>
      </c>
      <c r="F13" s="21" t="inlineStr">
        <is>
          <t>CUMPLE</t>
        </is>
      </c>
      <c r="G13" s="22" t="n"/>
      <c r="H13" s="23" t="inlineStr">
        <is>
          <t>META</t>
        </is>
      </c>
      <c r="I13" s="218" t="n"/>
      <c r="J13" s="203" t="n"/>
      <c r="K13" s="203" t="n"/>
      <c r="L13" s="203" t="n"/>
      <c r="M13" s="203" t="n"/>
      <c r="N13" s="203" t="n"/>
      <c r="O13" s="176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9.5" customHeight="1" s="99">
      <c r="A14" s="3" t="n"/>
      <c r="B14" s="186" t="n"/>
      <c r="C14" s="187" t="n"/>
      <c r="D14" s="20" t="inlineStr">
        <is>
          <t>&lt;</t>
        </is>
      </c>
      <c r="E14" s="20" t="n">
        <v>0.79</v>
      </c>
      <c r="F14" s="24" t="inlineStr">
        <is>
          <t>NO CUMPLE</t>
        </is>
      </c>
      <c r="G14" s="25" t="n"/>
      <c r="H14" s="26" t="n"/>
      <c r="I14" s="219" t="n"/>
      <c r="J14" s="201" t="n"/>
      <c r="K14" s="201" t="n"/>
      <c r="L14" s="201" t="n"/>
      <c r="M14" s="201" t="n"/>
      <c r="N14" s="201" t="n"/>
      <c r="O14" s="187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9.5" customHeight="1" s="99">
      <c r="A15" s="3" t="n"/>
      <c r="B15" s="215" t="inlineStr">
        <is>
          <t>ORIGEN DE LA INFORMACIÓN:</t>
        </is>
      </c>
      <c r="C15" s="193" t="n"/>
      <c r="D15" s="214" t="inlineStr">
        <is>
          <t>Plan de capacirtación, registros de capacitación</t>
        </is>
      </c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9.5" customHeight="1" s="99">
      <c r="A16" s="3" t="n"/>
      <c r="B16" s="215" t="inlineStr">
        <is>
          <t>FORMULA:</t>
        </is>
      </c>
      <c r="C16" s="193" t="n"/>
      <c r="D16" s="214" t="inlineStr">
        <is>
          <t># actividades de capacitación ejecutadas/# actividades de capacitación programadas *100</t>
        </is>
      </c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9.5" customHeight="1" s="99">
      <c r="A17" s="3" t="n"/>
      <c r="B17" s="215" t="inlineStr">
        <is>
          <t>TÉCNICA ESTADÍSTICA:</t>
        </is>
      </c>
      <c r="C17" s="193" t="n"/>
      <c r="D17" s="214" t="inlineStr">
        <is>
          <t>Grafico de barras</t>
        </is>
      </c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9.5" customHeight="1" s="99">
      <c r="A18" s="3" t="n"/>
      <c r="B18" s="215" t="inlineStr">
        <is>
          <t>FRECUENCIA:</t>
        </is>
      </c>
      <c r="C18" s="193" t="n"/>
      <c r="D18" s="214" t="inlineStr">
        <is>
          <t>Mensual</t>
        </is>
      </c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9.5" customHeight="1" s="99">
      <c r="A19" s="3" t="n"/>
      <c r="B19" s="215" t="inlineStr">
        <is>
          <t>TENDENCIA:</t>
        </is>
      </c>
      <c r="C19" s="193" t="n"/>
      <c r="D19" s="214" t="inlineStr">
        <is>
          <t>Ascendente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99">
      <c r="A20" s="3" t="n"/>
      <c r="B20" s="215" t="inlineStr">
        <is>
          <t>UNIDAD DE MEDIDA:</t>
        </is>
      </c>
      <c r="C20" s="193" t="n"/>
      <c r="D20" s="214" t="inlineStr">
        <is>
          <t>%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8.25" customHeight="1" s="99">
      <c r="A21" s="3" t="n"/>
      <c r="B21" s="220" t="n"/>
      <c r="C21" s="203" t="n"/>
      <c r="D21" s="203" t="n"/>
      <c r="E21" s="203" t="n"/>
      <c r="F21" s="203" t="n"/>
      <c r="G21" s="203" t="n"/>
      <c r="H21" s="203" t="n"/>
      <c r="I21" s="203" t="n"/>
      <c r="J21" s="203" t="n"/>
      <c r="K21" s="203" t="n"/>
      <c r="L21" s="203" t="n"/>
      <c r="M21" s="203" t="n"/>
      <c r="N21" s="176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4.25" customHeight="1" s="99">
      <c r="A22" s="3" t="n"/>
      <c r="B22" s="211" t="inlineStr">
        <is>
          <t>GRAFICA DEL INDICADOR</t>
        </is>
      </c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45" customHeight="1" s="99">
      <c r="A23" s="3" t="n"/>
      <c r="B23" s="161" t="n"/>
      <c r="C23" s="28" t="n"/>
      <c r="D23" s="28" t="n"/>
      <c r="E23" s="28" t="n"/>
      <c r="F23" s="28" t="n"/>
      <c r="G23" s="18" t="n"/>
      <c r="H23" s="161" t="n"/>
      <c r="I23" s="28" t="n"/>
      <c r="J23" s="28" t="n"/>
      <c r="K23" s="28" t="n"/>
      <c r="L23" s="28" t="n"/>
      <c r="M23" s="28" t="n"/>
      <c r="N23" s="28" t="n"/>
      <c r="O23" s="18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7.5" customHeight="1" s="99">
      <c r="A24" s="3" t="n"/>
      <c r="B24" s="221" t="n"/>
      <c r="N24" s="191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4.25" customHeight="1" s="99">
      <c r="A25" s="3" t="n"/>
      <c r="B25" s="222" t="inlineStr">
        <is>
          <t>DATOS DE MEDICIÓN</t>
        </is>
      </c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4.25" customHeight="1" s="99">
      <c r="A26" s="3" t="n"/>
      <c r="B26" s="211" t="inlineStr">
        <is>
          <t>AÑO 2023</t>
        </is>
      </c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7.75" customHeight="1" s="99">
      <c r="A27" s="3" t="n"/>
      <c r="B27" s="10" t="inlineStr">
        <is>
          <t>PARÁMETROS</t>
        </is>
      </c>
      <c r="C27" s="11" t="inlineStr">
        <is>
          <t>Enero</t>
        </is>
      </c>
      <c r="D27" s="11" t="inlineStr">
        <is>
          <t>Febrero</t>
        </is>
      </c>
      <c r="E27" s="11" t="inlineStr">
        <is>
          <t>Marzo</t>
        </is>
      </c>
      <c r="F27" s="11" t="inlineStr">
        <is>
          <t>Abril</t>
        </is>
      </c>
      <c r="G27" s="11" t="inlineStr">
        <is>
          <t>Mayo</t>
        </is>
      </c>
      <c r="H27" s="11" t="inlineStr">
        <is>
          <t>Junio</t>
        </is>
      </c>
      <c r="I27" s="11" t="inlineStr">
        <is>
          <t>Julio</t>
        </is>
      </c>
      <c r="J27" s="11" t="inlineStr">
        <is>
          <t>Agosto</t>
        </is>
      </c>
      <c r="K27" s="11" t="inlineStr">
        <is>
          <t>Septiembre</t>
        </is>
      </c>
      <c r="L27" s="11" t="inlineStr">
        <is>
          <t>Octubre</t>
        </is>
      </c>
      <c r="M27" s="11" t="inlineStr">
        <is>
          <t>Noviembre</t>
        </is>
      </c>
      <c r="N27" s="11" t="inlineStr">
        <is>
          <t>Diciembre</t>
        </is>
      </c>
      <c r="O27" s="11" t="n">
        <v>2023</v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4.25" customHeight="1" s="99">
      <c r="A28" s="3" t="n"/>
      <c r="B28" s="12" t="inlineStr">
        <is>
          <t>Capacitaciones Ejecutadas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29">
        <f>SUM(C28:N28)</f>
        <v/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4.25" customHeight="1" s="99">
      <c r="A29" s="3" t="n"/>
      <c r="B29" s="12" t="inlineStr">
        <is>
          <t>Capacitaciones Programadas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29">
        <f>SUM(C29:N29)</f>
        <v/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4.25" customHeight="1" s="99">
      <c r="A30" s="3" t="n"/>
      <c r="B30" s="12" t="inlineStr">
        <is>
          <t>Indicador capacitaciones</t>
        </is>
      </c>
      <c r="C30" s="14">
        <f>IFERROR(C28/C29,0)</f>
        <v/>
      </c>
      <c r="D30" s="14">
        <f>IFERROR(D28/D29,0)</f>
        <v/>
      </c>
      <c r="E30" s="14">
        <f>IFERROR(E28/E29,0)</f>
        <v/>
      </c>
      <c r="F30" s="14">
        <f>IFERROR(F28/F29,0)</f>
        <v/>
      </c>
      <c r="G30" s="14">
        <f>IFERROR(G28/G29,0)</f>
        <v/>
      </c>
      <c r="H30" s="14">
        <f>IFERROR(H28/H29,0)</f>
        <v/>
      </c>
      <c r="I30" s="14">
        <f>IFERROR(I28/I29,0)</f>
        <v/>
      </c>
      <c r="J30" s="14">
        <f>IFERROR(J28/J29,0)</f>
        <v/>
      </c>
      <c r="K30" s="14">
        <f>IFERROR(K28/K29,0)</f>
        <v/>
      </c>
      <c r="L30" s="14">
        <f>IFERROR(L28/L29,0)</f>
        <v/>
      </c>
      <c r="M30" s="14">
        <f>IFERROR(M28/M29,0)</f>
        <v/>
      </c>
      <c r="N30" s="14">
        <f>IFERROR(N28/N29,0)</f>
        <v/>
      </c>
      <c r="O30" s="14">
        <f>IFERROR(O28/O29,0)</f>
        <v/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4.25" customHeight="1" s="99">
      <c r="A31" s="3" t="n"/>
      <c r="B31" s="15" t="inlineStr">
        <is>
          <t>Meta</t>
        </is>
      </c>
      <c r="C31" s="14">
        <f>$E$13</f>
        <v/>
      </c>
      <c r="D31" s="14">
        <f>$E$13</f>
        <v/>
      </c>
      <c r="E31" s="14">
        <f>$E$13</f>
        <v/>
      </c>
      <c r="F31" s="14">
        <f>$E$13</f>
        <v/>
      </c>
      <c r="G31" s="14">
        <f>$E$13</f>
        <v/>
      </c>
      <c r="H31" s="14">
        <f>$E$13</f>
        <v/>
      </c>
      <c r="I31" s="14">
        <f>$E$13</f>
        <v/>
      </c>
      <c r="J31" s="14">
        <f>$E$13</f>
        <v/>
      </c>
      <c r="K31" s="14">
        <f>$E$13</f>
        <v/>
      </c>
      <c r="L31" s="14">
        <f>$E$13</f>
        <v/>
      </c>
      <c r="M31" s="14">
        <f>$E$13</f>
        <v/>
      </c>
      <c r="N31" s="14">
        <f>$E$13</f>
        <v/>
      </c>
      <c r="O31" s="14">
        <f>$E$13</f>
        <v/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6" customHeight="1" s="9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4.25" customHeight="1" s="99">
      <c r="A33" s="3" t="n"/>
      <c r="B33" s="223" t="inlineStr">
        <is>
          <t>AÑO 2024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4.25" customHeight="1" s="99">
      <c r="A34" s="3" t="n"/>
      <c r="B34" s="10" t="inlineStr">
        <is>
          <t>PARÁMETROS</t>
        </is>
      </c>
      <c r="C34" s="11" t="inlineStr">
        <is>
          <t>Enero</t>
        </is>
      </c>
      <c r="D34" s="11" t="inlineStr">
        <is>
          <t>Febrero</t>
        </is>
      </c>
      <c r="E34" s="11" t="inlineStr">
        <is>
          <t>Marzo</t>
        </is>
      </c>
      <c r="F34" s="11" t="inlineStr">
        <is>
          <t>Abril</t>
        </is>
      </c>
      <c r="G34" s="11" t="inlineStr">
        <is>
          <t>Mayo</t>
        </is>
      </c>
      <c r="H34" s="11" t="inlineStr">
        <is>
          <t>Junio</t>
        </is>
      </c>
      <c r="I34" s="11" t="inlineStr">
        <is>
          <t>Julio</t>
        </is>
      </c>
      <c r="J34" s="11" t="inlineStr">
        <is>
          <t>Agosto</t>
        </is>
      </c>
      <c r="K34" s="11" t="inlineStr">
        <is>
          <t>Septiembre</t>
        </is>
      </c>
      <c r="L34" s="11" t="inlineStr">
        <is>
          <t>Octubre</t>
        </is>
      </c>
      <c r="M34" s="11" t="inlineStr">
        <is>
          <t>Noviembre</t>
        </is>
      </c>
      <c r="N34" s="11" t="inlineStr">
        <is>
          <t>Diciembre</t>
        </is>
      </c>
      <c r="O34" s="11" t="n">
        <v>2024</v>
      </c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4.25" customHeight="1" s="99">
      <c r="A35" s="3" t="n"/>
      <c r="B35" s="12" t="inlineStr">
        <is>
          <t>Capacitaciones Ejecutadas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29">
        <f>SUM(C35:N35)</f>
        <v/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4.25" customHeight="1" s="99">
      <c r="A36" s="3" t="n"/>
      <c r="B36" s="12" t="inlineStr">
        <is>
          <t>Capacitaciones Programadas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29">
        <f>SUM(C36:N36)</f>
        <v/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4.25" customHeight="1" s="99">
      <c r="A37" s="3" t="n"/>
      <c r="B37" s="12" t="inlineStr">
        <is>
          <t>Indicador capacitaciones</t>
        </is>
      </c>
      <c r="C37" s="14">
        <f>IFERROR(C35/C36,0)</f>
        <v/>
      </c>
      <c r="D37" s="14">
        <f>IFERROR(D35/D36,0)</f>
        <v/>
      </c>
      <c r="E37" s="14">
        <f>IFERROR(E35/E36,0)</f>
        <v/>
      </c>
      <c r="F37" s="14">
        <f>IFERROR(F35/F36,0)</f>
        <v/>
      </c>
      <c r="G37" s="14">
        <f>IFERROR(G35/G36,0)</f>
        <v/>
      </c>
      <c r="H37" s="14">
        <f>IFERROR(H35/H36,0)</f>
        <v/>
      </c>
      <c r="I37" s="14">
        <f>IFERROR(I35/I36,0)</f>
        <v/>
      </c>
      <c r="J37" s="14">
        <f>IFERROR(J35/J36,0)</f>
        <v/>
      </c>
      <c r="K37" s="14">
        <f>IFERROR(K35/K36,0)</f>
        <v/>
      </c>
      <c r="L37" s="14">
        <f>IFERROR(L35/L36,0)</f>
        <v/>
      </c>
      <c r="M37" s="14">
        <f>IFERROR(M35/M36,0)</f>
        <v/>
      </c>
      <c r="N37" s="14">
        <f>IFERROR(N35/N36,0)</f>
        <v/>
      </c>
      <c r="O37" s="14">
        <f>IFERROR(O35/O36,0)</f>
        <v/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4.25" customHeight="1" s="99">
      <c r="A38" s="3" t="n"/>
      <c r="B38" s="15" t="inlineStr">
        <is>
          <t>Meta</t>
        </is>
      </c>
      <c r="C38" s="14">
        <f>$E$13</f>
        <v/>
      </c>
      <c r="D38" s="14">
        <f>$E$13</f>
        <v/>
      </c>
      <c r="E38" s="14">
        <f>$E$13</f>
        <v/>
      </c>
      <c r="F38" s="14">
        <f>$E$13</f>
        <v/>
      </c>
      <c r="G38" s="14">
        <f>$E$13</f>
        <v/>
      </c>
      <c r="H38" s="14">
        <f>$E$13</f>
        <v/>
      </c>
      <c r="I38" s="14">
        <f>$E$13</f>
        <v/>
      </c>
      <c r="J38" s="14">
        <f>$E$13</f>
        <v/>
      </c>
      <c r="K38" s="14">
        <f>$E$13</f>
        <v/>
      </c>
      <c r="L38" s="14">
        <f>$E$13</f>
        <v/>
      </c>
      <c r="M38" s="14">
        <f>$E$13</f>
        <v/>
      </c>
      <c r="N38" s="14">
        <f>$E$13</f>
        <v/>
      </c>
      <c r="O38" s="14">
        <f>$E$13</f>
        <v/>
      </c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4.25" customHeight="1" s="9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4.25" customHeight="1" s="99">
      <c r="A40" s="3" t="n"/>
      <c r="B40" s="211" t="inlineStr">
        <is>
          <t>AÑO 2025</t>
        </is>
      </c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9.25" customHeight="1" s="99">
      <c r="A41" s="3" t="n"/>
      <c r="B41" s="10" t="inlineStr">
        <is>
          <t>PARÁMETROS</t>
        </is>
      </c>
      <c r="C41" s="11" t="inlineStr">
        <is>
          <t>Enero</t>
        </is>
      </c>
      <c r="D41" s="11" t="inlineStr">
        <is>
          <t>Febrero</t>
        </is>
      </c>
      <c r="E41" s="11" t="inlineStr">
        <is>
          <t>Marzo</t>
        </is>
      </c>
      <c r="F41" s="11" t="inlineStr">
        <is>
          <t>Abril</t>
        </is>
      </c>
      <c r="G41" s="11" t="inlineStr">
        <is>
          <t>Mayo</t>
        </is>
      </c>
      <c r="H41" s="11" t="inlineStr">
        <is>
          <t>Junio</t>
        </is>
      </c>
      <c r="I41" s="11" t="inlineStr">
        <is>
          <t>Julio</t>
        </is>
      </c>
      <c r="J41" s="11" t="inlineStr">
        <is>
          <t>Agosto</t>
        </is>
      </c>
      <c r="K41" s="11" t="inlineStr">
        <is>
          <t>Septiembre</t>
        </is>
      </c>
      <c r="L41" s="11" t="inlineStr">
        <is>
          <t>Octubre</t>
        </is>
      </c>
      <c r="M41" s="11" t="inlineStr">
        <is>
          <t>Noviembre</t>
        </is>
      </c>
      <c r="N41" s="11" t="inlineStr">
        <is>
          <t>Diciembre</t>
        </is>
      </c>
      <c r="O41" s="11" t="n">
        <v>2025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4.25" customHeight="1" s="99">
      <c r="A42" s="3" t="n"/>
      <c r="B42" s="12" t="inlineStr">
        <is>
          <t>Capacitaciones Ejecutadas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29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4.25" customHeight="1" s="99">
      <c r="A43" s="3" t="n"/>
      <c r="B43" s="12" t="inlineStr">
        <is>
          <t>Capacitaciones Programadas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29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4.25" customHeight="1" s="99">
      <c r="A44" s="3" t="n"/>
      <c r="B44" s="12" t="inlineStr">
        <is>
          <t>Indicador capacitaciones</t>
        </is>
      </c>
      <c r="C44" s="14">
        <f>IFERROR(C42/C43,0)</f>
        <v/>
      </c>
      <c r="D44" s="14">
        <f>IFERROR(D42/D43,0)</f>
        <v/>
      </c>
      <c r="E44" s="14">
        <f>IFERROR(E42/E43,0)</f>
        <v/>
      </c>
      <c r="F44" s="14">
        <f>IFERROR(F42/F43,0)</f>
        <v/>
      </c>
      <c r="G44" s="14">
        <f>IFERROR(G42/G43,0)</f>
        <v/>
      </c>
      <c r="H44" s="14">
        <f>IFERROR(H42/H43,0)</f>
        <v/>
      </c>
      <c r="I44" s="14">
        <f>IFERROR(I42/I43,0)</f>
        <v/>
      </c>
      <c r="J44" s="14">
        <f>IFERROR(J42/J43,0)</f>
        <v/>
      </c>
      <c r="K44" s="14">
        <f>IFERROR(K42/K43,0)</f>
        <v/>
      </c>
      <c r="L44" s="14">
        <f>IFERROR(L42/L43,0)</f>
        <v/>
      </c>
      <c r="M44" s="14">
        <f>IFERROR(M42/M43,0)</f>
        <v/>
      </c>
      <c r="N44" s="14">
        <f>IFERROR(N42/N43,0)</f>
        <v/>
      </c>
      <c r="O44" s="14">
        <f>IFERROR(O42/O43,0)</f>
        <v/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4.25" customHeight="1" s="99">
      <c r="A45" s="3" t="n"/>
      <c r="B45" s="15" t="inlineStr">
        <is>
          <t>Meta</t>
        </is>
      </c>
      <c r="C45" s="14">
        <f>$E$13</f>
        <v/>
      </c>
      <c r="D45" s="14">
        <f>$E$13</f>
        <v/>
      </c>
      <c r="E45" s="14">
        <f>$E$13</f>
        <v/>
      </c>
      <c r="F45" s="14">
        <f>$E$13</f>
        <v/>
      </c>
      <c r="G45" s="14">
        <f>$E$13</f>
        <v/>
      </c>
      <c r="H45" s="14">
        <f>$E$13</f>
        <v/>
      </c>
      <c r="I45" s="14">
        <f>$E$13</f>
        <v/>
      </c>
      <c r="J45" s="14">
        <f>$E$13</f>
        <v/>
      </c>
      <c r="K45" s="14">
        <f>$E$13</f>
        <v/>
      </c>
      <c r="L45" s="14">
        <f>$E$13</f>
        <v/>
      </c>
      <c r="M45" s="14">
        <f>$E$13</f>
        <v/>
      </c>
      <c r="N45" s="14">
        <f>$E$13</f>
        <v/>
      </c>
      <c r="O45" s="14">
        <f>$E$13</f>
        <v/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6" customHeight="1" s="9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 s="99">
      <c r="A47" s="3" t="n"/>
      <c r="B47" s="224" t="inlineStr">
        <is>
          <t>ANÁLISIS</t>
        </is>
      </c>
      <c r="C47" s="195" t="n"/>
      <c r="D47" s="195" t="n"/>
      <c r="E47" s="195" t="n"/>
      <c r="F47" s="195" t="n"/>
      <c r="G47" s="193" t="n"/>
      <c r="H47" s="137" t="inlineStr">
        <is>
          <t>ACCIONES DE MEJORA</t>
        </is>
      </c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35.25" customHeight="1" s="99">
      <c r="A48" s="3" t="n"/>
      <c r="B48" s="194" t="n"/>
      <c r="C48" s="195" t="n"/>
      <c r="D48" s="195" t="n"/>
      <c r="E48" s="195" t="n"/>
      <c r="F48" s="195" t="n"/>
      <c r="G48" s="193" t="n"/>
      <c r="H48" s="206" t="n"/>
      <c r="I48" s="195" t="n"/>
      <c r="J48" s="195" t="n"/>
      <c r="K48" s="195" t="n"/>
      <c r="L48" s="195" t="n"/>
      <c r="M48" s="195" t="n"/>
      <c r="N48" s="195" t="n"/>
      <c r="O48" s="19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35.25" customHeight="1" s="99">
      <c r="A49" s="3" t="n"/>
      <c r="B49" s="194" t="n"/>
      <c r="C49" s="195" t="n"/>
      <c r="D49" s="195" t="n"/>
      <c r="E49" s="195" t="n"/>
      <c r="F49" s="195" t="n"/>
      <c r="G49" s="193" t="n"/>
      <c r="H49" s="206" t="n"/>
      <c r="I49" s="195" t="n"/>
      <c r="J49" s="195" t="n"/>
      <c r="K49" s="195" t="n"/>
      <c r="L49" s="195" t="n"/>
      <c r="M49" s="195" t="n"/>
      <c r="N49" s="195" t="n"/>
      <c r="O49" s="19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35.25" customHeight="1" s="99">
      <c r="A50" s="3" t="n"/>
      <c r="B50" s="194" t="n"/>
      <c r="C50" s="195" t="n"/>
      <c r="D50" s="195" t="n"/>
      <c r="E50" s="195" t="n"/>
      <c r="F50" s="195" t="n"/>
      <c r="G50" s="193" t="n"/>
      <c r="H50" s="206" t="n"/>
      <c r="I50" s="195" t="n"/>
      <c r="J50" s="195" t="n"/>
      <c r="K50" s="195" t="n"/>
      <c r="L50" s="195" t="n"/>
      <c r="M50" s="195" t="n"/>
      <c r="N50" s="195" t="n"/>
      <c r="O50" s="19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35.25" customHeight="1" s="99">
      <c r="A51" s="3" t="n"/>
      <c r="B51" s="194" t="n"/>
      <c r="C51" s="195" t="n"/>
      <c r="D51" s="195" t="n"/>
      <c r="E51" s="195" t="n"/>
      <c r="F51" s="195" t="n"/>
      <c r="G51" s="193" t="n"/>
      <c r="H51" s="206" t="n"/>
      <c r="I51" s="195" t="n"/>
      <c r="J51" s="195" t="n"/>
      <c r="K51" s="195" t="n"/>
      <c r="L51" s="195" t="n"/>
      <c r="M51" s="195" t="n"/>
      <c r="N51" s="195" t="n"/>
      <c r="O51" s="19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35.25" customHeight="1" s="99">
      <c r="A52" s="3" t="n"/>
      <c r="B52" s="194" t="n"/>
      <c r="C52" s="195" t="n"/>
      <c r="D52" s="195" t="n"/>
      <c r="E52" s="195" t="n"/>
      <c r="F52" s="195" t="n"/>
      <c r="G52" s="193" t="n"/>
      <c r="H52" s="206" t="n"/>
      <c r="I52" s="195" t="n"/>
      <c r="J52" s="195" t="n"/>
      <c r="K52" s="195" t="n"/>
      <c r="L52" s="195" t="n"/>
      <c r="M52" s="195" t="n"/>
      <c r="N52" s="195" t="n"/>
      <c r="O52" s="19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35.25" customHeight="1" s="99">
      <c r="A53" s="3" t="n"/>
      <c r="B53" s="194" t="n"/>
      <c r="C53" s="195" t="n"/>
      <c r="D53" s="195" t="n"/>
      <c r="E53" s="195" t="n"/>
      <c r="F53" s="195" t="n"/>
      <c r="G53" s="193" t="n"/>
      <c r="H53" s="206" t="n"/>
      <c r="I53" s="195" t="n"/>
      <c r="J53" s="195" t="n"/>
      <c r="K53" s="195" t="n"/>
      <c r="L53" s="195" t="n"/>
      <c r="M53" s="195" t="n"/>
      <c r="N53" s="195" t="n"/>
      <c r="O53" s="19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4.25" customHeight="1" s="99">
      <c r="A54" s="3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4.25" customHeight="1" s="9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4.25" customHeight="1" s="9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4.25" customHeight="1" s="9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4.25" customHeight="1" s="9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4.25" customHeight="1" s="9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4.25" customHeight="1" s="9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4.25" customHeight="1" s="9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4.25" customHeight="1" s="9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4.25" customHeight="1" s="9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4.25" customHeight="1" s="9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4.25" customHeight="1" s="9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4.25" customHeight="1" s="9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4.25" customHeight="1" s="9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4.25" customHeight="1" s="9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4.25" customHeight="1" s="9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4.25" customHeight="1" s="9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4.25" customHeight="1" s="9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4.25" customHeight="1" s="9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4.25" customHeight="1" s="9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4.25" customHeight="1" s="9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4.25" customHeight="1" s="9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4.25" customHeight="1" s="9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4.25" customHeight="1" s="9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4.25" customHeight="1" s="9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4.25" customHeight="1" s="9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4.25" customHeight="1" s="9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4.25" customHeight="1" s="9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4.25" customHeight="1" s="9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4.25" customHeight="1" s="9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4.25" customHeight="1" s="9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4.25" customHeight="1" s="9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4.25" customHeight="1" s="9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4.25" customHeight="1" s="9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4.25" customHeight="1" s="9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4.25" customHeight="1" s="9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4.25" customHeight="1" s="9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4.25" customHeight="1" s="9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4.25" customHeight="1" s="9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4.25" customHeight="1" s="9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4.25" customHeight="1" s="9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4.25" customHeight="1" s="9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4.25" customHeight="1" s="9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4.25" customHeight="1" s="9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4.25" customHeight="1" s="9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4.25" customHeight="1" s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4.25" customHeight="1" s="9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4.25" customHeight="1" s="9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4.25" customHeight="1" s="9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4.25" customHeight="1" s="9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4.25" customHeight="1" s="9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4.25" customHeight="1" s="9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4.25" customHeight="1" s="9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4.25" customHeight="1" s="9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4.25" customHeight="1" s="9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4.25" customHeight="1" s="9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4.25" customHeight="1" s="9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4.25" customHeight="1" s="9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4.25" customHeight="1" s="9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4.25" customHeight="1" s="9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4.25" customHeight="1" s="9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4.25" customHeight="1" s="9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4.25" customHeight="1" s="9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4.25" customHeight="1" s="9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4.25" customHeight="1" s="9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4.25" customHeight="1" s="9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4.25" customHeight="1" s="9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4.25" customHeight="1" s="9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4.25" customHeight="1" s="9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4.25" customHeight="1" s="9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4.25" customHeight="1" s="9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4.25" customHeight="1" s="9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4.25" customHeight="1" s="9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4.25" customHeight="1" s="9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4.25" customHeight="1" s="9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4.25" customHeight="1" s="9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4.25" customHeight="1" s="9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4.25" customHeight="1" s="9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4.25" customHeight="1" s="9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4.25" customHeight="1" s="9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4.25" customHeight="1" s="9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4.25" customHeight="1" s="9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4.25" customHeight="1" s="9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4.25" customHeight="1" s="9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4.25" customHeight="1" s="9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4.25" customHeight="1" s="9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4.25" customHeight="1" s="9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4.25" customHeight="1" s="9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4.25" customHeight="1" s="9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4.25" customHeight="1" s="9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4.25" customHeight="1" s="9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25" customHeight="1" s="9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4.25" customHeight="1" s="9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4.25" customHeight="1" s="9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4.25" customHeight="1" s="9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4.25" customHeight="1" s="9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4.25" customHeight="1" s="9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25" customHeight="1" s="9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25" customHeight="1" s="9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4.25" customHeight="1" s="9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25" customHeight="1" s="9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25" customHeight="1" s="9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4.25" customHeight="1" s="9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4.25" customHeight="1" s="9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4.25" customHeight="1" s="9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25" customHeight="1" s="9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4.25" customHeight="1" s="9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25" customHeight="1" s="9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25" customHeight="1" s="9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25" customHeight="1" s="9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25" customHeight="1" s="9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25" customHeight="1" s="9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25" customHeight="1" s="9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4.25" customHeight="1" s="9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4.25" customHeight="1" s="9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4.25" customHeight="1" s="9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4.25" customHeight="1" s="9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4.25" customHeight="1" s="9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4.25" customHeight="1" s="9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4.25" customHeight="1" s="9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4.25" customHeight="1" s="9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4.25" customHeight="1" s="9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4.25" customHeight="1" s="9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4.25" customHeight="1" s="9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4.25" customHeight="1" s="9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4.25" customHeight="1" s="9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4.25" customHeight="1" s="9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4.25" customHeight="1" s="9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4.25" customHeight="1" s="9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4.25" customHeight="1" s="9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4.25" customHeight="1" s="9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4.25" customHeight="1" s="9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4.25" customHeight="1" s="9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4.25" customHeight="1" s="9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4.25" customHeight="1" s="9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4.25" customHeight="1" s="9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4.25" customHeight="1" s="9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4.25" customHeight="1" s="9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4.25" customHeight="1" s="9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4.25" customHeight="1" s="9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4.25" customHeight="1" s="9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4.25" customHeight="1" s="9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4.25" customHeight="1" s="9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4.25" customHeight="1" s="9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4.25" customHeight="1" s="9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4.25" customHeight="1" s="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4.25" customHeight="1" s="9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4.25" customHeight="1" s="9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4.25" customHeight="1" s="9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4.25" customHeight="1" s="9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4.25" customHeight="1" s="9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4.25" customHeight="1" s="9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4.25" customHeight="1" s="9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4.25" customHeight="1" s="9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4.25" customHeight="1" s="9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4.25" customHeight="1" s="9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4.25" customHeight="1" s="9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4.25" customHeight="1" s="9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4.25" customHeight="1" s="9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4.25" customHeight="1" s="9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4.25" customHeight="1" s="9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4.25" customHeight="1" s="9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4.25" customHeight="1" s="9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4.25" customHeight="1" s="9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4.25" customHeight="1" s="9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4.25" customHeight="1" s="9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4.25" customHeight="1" s="9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4.25" customHeight="1" s="9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4.25" customHeight="1" s="9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4.25" customHeight="1" s="9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4.25" customHeight="1" s="9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4.25" customHeight="1" s="9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4.25" customHeight="1" s="9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4.25" customHeight="1" s="9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4.25" customHeight="1" s="9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4.25" customHeight="1" s="9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4.25" customHeight="1" s="9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4.25" customHeight="1" s="9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4.25" customHeight="1" s="9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4.25" customHeight="1" s="9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4.25" customHeight="1" s="9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4.25" customHeight="1" s="9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4.25" customHeight="1" s="9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4.25" customHeight="1" s="9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4.25" customHeight="1" s="9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4.25" customHeight="1" s="9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4.25" customHeight="1" s="9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4.25" customHeight="1" s="9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4.25" customHeight="1" s="9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4.25" customHeight="1" s="9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4.25" customHeight="1" s="9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4.25" customHeight="1" s="9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4.25" customHeight="1" s="9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4.25" customHeight="1" s="9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4.25" customHeight="1" s="9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4.25" customHeight="1" s="9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4.25" customHeight="1" s="9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4.25" customHeight="1" s="9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4.25" customHeight="1" s="9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4.25" customHeight="1" s="9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4.25" customHeight="1" s="9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25" customHeight="1" s="9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4.25" customHeight="1" s="9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4.25" customHeight="1" s="9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4.25" customHeight="1" s="9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4.25" customHeight="1" s="9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4.25" customHeight="1" s="9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4.25" customHeight="1" s="9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4.25" customHeight="1" s="9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4.25" customHeight="1" s="9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4.25" customHeight="1" s="9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4.25" customHeight="1" s="9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4.25" customHeight="1" s="9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4.25" customHeight="1" s="9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4.25" customHeight="1" s="9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4.25" customHeight="1" s="9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4.25" customHeight="1" s="9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4.25" customHeight="1" s="9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4.25" customHeight="1" s="9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4.25" customHeight="1" s="9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4.25" customHeight="1" s="9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4.25" customHeight="1" s="9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4.25" customHeight="1" s="9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4.25" customHeight="1" s="9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4.25" customHeight="1" s="9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4.25" customHeight="1" s="9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4.25" customHeight="1" s="9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4.25" customHeight="1" s="9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4.25" customHeight="1" s="9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4.25" customHeight="1" s="9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4.25" customHeight="1" s="9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4.25" customHeight="1" s="9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4.25" customHeight="1" s="9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4.25" customHeight="1" s="9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4.25" customHeight="1" s="9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4.25" customHeight="1" s="9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4.25" customHeight="1" s="9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4.25" customHeight="1" s="9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4.25" customHeight="1" s="9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4.25" customHeight="1" s="9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4.25" customHeight="1" s="9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4.25" customHeight="1" s="9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4.25" customHeight="1" s="9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4.25" customHeight="1" s="9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4.25" customHeight="1" s="9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4.25" customHeight="1" s="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4.25" customHeight="1" s="9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4.25" customHeight="1" s="9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4.25" customHeight="1" s="9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4.25" customHeight="1" s="9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4.25" customHeight="1" s="9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4.25" customHeight="1" s="9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4.25" customHeight="1" s="9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4.25" customHeight="1" s="9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4.25" customHeight="1" s="9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4.25" customHeight="1" s="9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4.25" customHeight="1" s="9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4.25" customHeight="1" s="9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4.25" customHeight="1" s="9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4.25" customHeight="1" s="9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4.25" customHeight="1" s="9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4.25" customHeight="1" s="9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4.25" customHeight="1" s="9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4.25" customHeight="1" s="9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4.25" customHeight="1" s="9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4.25" customHeight="1" s="9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4.25" customHeight="1" s="9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4.25" customHeight="1" s="9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4.25" customHeight="1" s="9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4.25" customHeight="1" s="9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4.25" customHeight="1" s="9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4.25" customHeight="1" s="9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4.25" customHeight="1" s="9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4.25" customHeight="1" s="9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4.25" customHeight="1" s="9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4.25" customHeight="1" s="9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4.25" customHeight="1" s="9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4.25" customHeight="1" s="9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4.25" customHeight="1" s="9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4.25" customHeight="1" s="9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4.25" customHeight="1" s="9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4.25" customHeight="1" s="9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4.25" customHeight="1" s="9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4.25" customHeight="1" s="9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4.25" customHeight="1" s="9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4.25" customHeight="1" s="9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4.25" customHeight="1" s="9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4.25" customHeight="1" s="9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4.25" customHeight="1" s="9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4.25" customHeight="1" s="9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4.25" customHeight="1" s="9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4.25" customHeight="1" s="9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4.25" customHeight="1" s="9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4.25" customHeight="1" s="9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4.25" customHeight="1" s="9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4.25" customHeight="1" s="9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4.25" customHeight="1" s="9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4.25" customHeight="1" s="9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4.25" customHeight="1" s="9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4.25" customHeight="1" s="9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4.25" customHeight="1" s="9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4.25" customHeight="1" s="9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4.25" customHeight="1" s="9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4.25" customHeight="1" s="9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4.25" customHeight="1" s="9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4.25" customHeight="1" s="9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4.25" customHeight="1" s="9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4.25" customHeight="1" s="9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4.25" customHeight="1" s="9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4.25" customHeight="1" s="9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4.25" customHeight="1" s="9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4.25" customHeight="1" s="9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4.25" customHeight="1" s="9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4.25" customHeight="1" s="9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4.25" customHeight="1" s="9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4.25" customHeight="1" s="9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4.25" customHeight="1" s="9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4.25" customHeight="1" s="9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4.25" customHeight="1" s="9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4.25" customHeight="1" s="9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4.25" customHeight="1" s="9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4.25" customHeight="1" s="9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4.25" customHeight="1" s="9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4.25" customHeight="1" s="9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4.25" customHeight="1" s="9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4.25" customHeight="1" s="9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4.25" customHeight="1" s="9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4.25" customHeight="1" s="9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4.25" customHeight="1" s="9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4.25" customHeight="1" s="9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4.25" customHeight="1" s="9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4.25" customHeight="1" s="9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4.25" customHeight="1" s="9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4.25" customHeight="1" s="9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4.25" customHeight="1" s="9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4.25" customHeight="1" s="9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4.25" customHeight="1" s="9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4.25" customHeight="1" s="9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4.25" customHeight="1" s="9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4.25" customHeight="1" s="9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4.25" customHeight="1" s="9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4.25" customHeight="1" s="9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4.25" customHeight="1" s="9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4.25" customHeight="1" s="9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4.25" customHeight="1" s="9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4.25" customHeight="1" s="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4.25" customHeight="1" s="9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4.25" customHeight="1" s="9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4.25" customHeight="1" s="9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4.25" customHeight="1" s="9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4.25" customHeight="1" s="9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4.25" customHeight="1" s="9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4.25" customHeight="1" s="9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4.25" customHeight="1" s="9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4.25" customHeight="1" s="9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4.25" customHeight="1" s="9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4.25" customHeight="1" s="9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4.25" customHeight="1" s="9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4.25" customHeight="1" s="9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4.25" customHeight="1" s="9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4.25" customHeight="1" s="9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4.25" customHeight="1" s="9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4.25" customHeight="1" s="9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4.25" customHeight="1" s="9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4.25" customHeight="1" s="9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4.25" customHeight="1" s="9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4.25" customHeight="1" s="9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4.25" customHeight="1" s="9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4.25" customHeight="1" s="9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4.25" customHeight="1" s="9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4.25" customHeight="1" s="9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4.25" customHeight="1" s="9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4.25" customHeight="1" s="9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4.25" customHeight="1" s="9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4.25" customHeight="1" s="9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4.25" customHeight="1" s="9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4.25" customHeight="1" s="9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4.25" customHeight="1" s="9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4.25" customHeight="1" s="9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4.25" customHeight="1" s="9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4.25" customHeight="1" s="9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4.25" customHeight="1" s="9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4.25" customHeight="1" s="9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4.25" customHeight="1" s="9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4.25" customHeight="1" s="9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4.25" customHeight="1" s="9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4.25" customHeight="1" s="9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4.25" customHeight="1" s="9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4.25" customHeight="1" s="9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4.25" customHeight="1" s="9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4.25" customHeight="1" s="9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4.25" customHeight="1" s="9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4.25" customHeight="1" s="9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4.25" customHeight="1" s="9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4.25" customHeight="1" s="9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4.25" customHeight="1" s="9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4.25" customHeight="1" s="9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4.25" customHeight="1" s="9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4.25" customHeight="1" s="9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4.25" customHeight="1" s="9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4.25" customHeight="1" s="9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4.25" customHeight="1" s="9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4.25" customHeight="1" s="9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4.25" customHeight="1" s="9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4.25" customHeight="1" s="9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4.25" customHeight="1" s="9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4.25" customHeight="1" s="9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4.25" customHeight="1" s="9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4.25" customHeight="1" s="9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4.25" customHeight="1" s="9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4.25" customHeight="1" s="9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4.25" customHeight="1" s="9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4.25" customHeight="1" s="9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4.25" customHeight="1" s="9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4.25" customHeight="1" s="9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4.25" customHeight="1" s="9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4.25" customHeight="1" s="9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4.25" customHeight="1" s="9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4.25" customHeight="1" s="9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4.25" customHeight="1" s="9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4.25" customHeight="1" s="9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4.25" customHeight="1" s="9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4.25" customHeight="1" s="9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4.25" customHeight="1" s="9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4.25" customHeight="1" s="9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4.25" customHeight="1" s="9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4.25" customHeight="1" s="9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4.25" customHeight="1" s="9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4.25" customHeight="1" s="9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4.25" customHeight="1" s="9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4.25" customHeight="1" s="9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4.25" customHeight="1" s="9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4.25" customHeight="1" s="9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4.25" customHeight="1" s="9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4.25" customHeight="1" s="9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4.25" customHeight="1" s="9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4.25" customHeight="1" s="9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4.25" customHeight="1" s="9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4.25" customHeight="1" s="9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4.25" customHeight="1" s="9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4.25" customHeight="1" s="9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4.25" customHeight="1" s="9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4.25" customHeight="1" s="9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4.25" customHeight="1" s="9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4.25" customHeight="1" s="9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4.25" customHeight="1" s="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4.25" customHeight="1" s="9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4.25" customHeight="1" s="9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4.25" customHeight="1" s="9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4.25" customHeight="1" s="9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4.25" customHeight="1" s="9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4.25" customHeight="1" s="9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4.25" customHeight="1" s="9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4.25" customHeight="1" s="9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4.25" customHeight="1" s="9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4.25" customHeight="1" s="9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4.25" customHeight="1" s="9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4.25" customHeight="1" s="9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4.25" customHeight="1" s="9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4.25" customHeight="1" s="9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4.25" customHeight="1" s="9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4.25" customHeight="1" s="9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4.25" customHeight="1" s="9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4.25" customHeight="1" s="9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4.25" customHeight="1" s="9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4.25" customHeight="1" s="9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4.25" customHeight="1" s="9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4.25" customHeight="1" s="9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4.25" customHeight="1" s="9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4.25" customHeight="1" s="9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4.25" customHeight="1" s="9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4.25" customHeight="1" s="9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4.25" customHeight="1" s="9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4.25" customHeight="1" s="9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4.25" customHeight="1" s="9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4.25" customHeight="1" s="9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4.25" customHeight="1" s="9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4.25" customHeight="1" s="9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4.25" customHeight="1" s="9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4.25" customHeight="1" s="9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4.25" customHeight="1" s="9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4.25" customHeight="1" s="9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4.25" customHeight="1" s="9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4.25" customHeight="1" s="9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4.25" customHeight="1" s="9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4.25" customHeight="1" s="9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4.25" customHeight="1" s="9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4.25" customHeight="1" s="9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4.25" customHeight="1" s="9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4.25" customHeight="1" s="9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4.25" customHeight="1" s="9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4.25" customHeight="1" s="9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4.25" customHeight="1" s="9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4.25" customHeight="1" s="9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4.25" customHeight="1" s="9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4.25" customHeight="1" s="9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4.25" customHeight="1" s="9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4.25" customHeight="1" s="9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4.25" customHeight="1" s="9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4.25" customHeight="1" s="9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4.25" customHeight="1" s="9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4.25" customHeight="1" s="9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4.25" customHeight="1" s="9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4.25" customHeight="1" s="9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4.25" customHeight="1" s="9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4.25" customHeight="1" s="9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4.25" customHeight="1" s="9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4.25" customHeight="1" s="9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4.25" customHeight="1" s="9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4.25" customHeight="1" s="9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4.25" customHeight="1" s="9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4.25" customHeight="1" s="9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4.25" customHeight="1" s="9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4.25" customHeight="1" s="9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4.25" customHeight="1" s="9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4.25" customHeight="1" s="9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4.25" customHeight="1" s="9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4.25" customHeight="1" s="9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4.25" customHeight="1" s="9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4.25" customHeight="1" s="9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4.25" customHeight="1" s="9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4.25" customHeight="1" s="9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4.25" customHeight="1" s="9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4.25" customHeight="1" s="9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4.25" customHeight="1" s="9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4.25" customHeight="1" s="9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4.25" customHeight="1" s="9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4.25" customHeight="1" s="9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4.25" customHeight="1" s="9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4.25" customHeight="1" s="9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4.25" customHeight="1" s="9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4.25" customHeight="1" s="9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4.25" customHeight="1" s="9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4.25" customHeight="1" s="9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4.25" customHeight="1" s="9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4.25" customHeight="1" s="9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4.25" customHeight="1" s="9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4.25" customHeight="1" s="9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4.25" customHeight="1" s="9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4.25" customHeight="1" s="9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4.25" customHeight="1" s="9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4.25" customHeight="1" s="9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4.25" customHeight="1" s="9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4.25" customHeight="1" s="9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4.25" customHeight="1" s="9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4.25" customHeight="1" s="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4.25" customHeight="1" s="9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4.25" customHeight="1" s="9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4.25" customHeight="1" s="9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4.25" customHeight="1" s="9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4.25" customHeight="1" s="9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4.25" customHeight="1" s="9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4.25" customHeight="1" s="9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4.25" customHeight="1" s="9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4.25" customHeight="1" s="9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4.25" customHeight="1" s="9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4.25" customHeight="1" s="9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4.25" customHeight="1" s="9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4.25" customHeight="1" s="9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4.25" customHeight="1" s="9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4.25" customHeight="1" s="9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4.25" customHeight="1" s="9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4.25" customHeight="1" s="9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4.25" customHeight="1" s="9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4.25" customHeight="1" s="9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4.25" customHeight="1" s="9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4.25" customHeight="1" s="9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4.25" customHeight="1" s="9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4.25" customHeight="1" s="9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4.25" customHeight="1" s="9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4.25" customHeight="1" s="9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4.25" customHeight="1" s="9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4.25" customHeight="1" s="9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4.25" customHeight="1" s="9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4.25" customHeight="1" s="9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4.25" customHeight="1" s="9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4.25" customHeight="1" s="9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4.25" customHeight="1" s="9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4.25" customHeight="1" s="9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4.25" customHeight="1" s="9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4.25" customHeight="1" s="9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4.25" customHeight="1" s="9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4.25" customHeight="1" s="9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4.25" customHeight="1" s="9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4.25" customHeight="1" s="9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4.25" customHeight="1" s="9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4.25" customHeight="1" s="9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4.25" customHeight="1" s="9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4.25" customHeight="1" s="9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4.25" customHeight="1" s="9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4.25" customHeight="1" s="9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4.25" customHeight="1" s="9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4.25" customHeight="1" s="9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4.25" customHeight="1" s="9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4.25" customHeight="1" s="9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4.25" customHeight="1" s="9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4.25" customHeight="1" s="9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4.25" customHeight="1" s="9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4.25" customHeight="1" s="9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4.25" customHeight="1" s="9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4.25" customHeight="1" s="9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4.25" customHeight="1" s="9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4.25" customHeight="1" s="9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4.25" customHeight="1" s="9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4.25" customHeight="1" s="9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4.25" customHeight="1" s="9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4.25" customHeight="1" s="9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4.25" customHeight="1" s="9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4.25" customHeight="1" s="9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4.25" customHeight="1" s="9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4.25" customHeight="1" s="9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4.25" customHeight="1" s="9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4.25" customHeight="1" s="9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4.25" customHeight="1" s="9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4.25" customHeight="1" s="9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4.25" customHeight="1" s="9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4.25" customHeight="1" s="9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4.25" customHeight="1" s="9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4.25" customHeight="1" s="9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4.25" customHeight="1" s="9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4.25" customHeight="1" s="9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4.25" customHeight="1" s="9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4.25" customHeight="1" s="9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4.25" customHeight="1" s="9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4.25" customHeight="1" s="9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4.25" customHeight="1" s="9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4.25" customHeight="1" s="9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4.25" customHeight="1" s="9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4.25" customHeight="1" s="9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4.25" customHeight="1" s="9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4.25" customHeight="1" s="9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4.25" customHeight="1" s="9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4.25" customHeight="1" s="9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4.25" customHeight="1" s="9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4.25" customHeight="1" s="9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4.25" customHeight="1" s="9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4.25" customHeight="1" s="9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4.25" customHeight="1" s="9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4.25" customHeight="1" s="9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4.25" customHeight="1" s="9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4.25" customHeight="1" s="9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4.25" customHeight="1" s="9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4.25" customHeight="1" s="9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4.25" customHeight="1" s="9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4.25" customHeight="1" s="9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4.25" customHeight="1" s="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4.25" customHeight="1" s="9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4.25" customHeight="1" s="9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4.25" customHeight="1" s="9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4.25" customHeight="1" s="9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4.25" customHeight="1" s="9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4.25" customHeight="1" s="9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4.25" customHeight="1" s="9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4.25" customHeight="1" s="9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4.25" customHeight="1" s="9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4.25" customHeight="1" s="9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4.25" customHeight="1" s="9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4.25" customHeight="1" s="9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4.25" customHeight="1" s="9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4.25" customHeight="1" s="9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4.25" customHeight="1" s="9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4.25" customHeight="1" s="9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4.25" customHeight="1" s="9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4.25" customHeight="1" s="9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4.25" customHeight="1" s="9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4.25" customHeight="1" s="9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4.25" customHeight="1" s="9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4.25" customHeight="1" s="9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4.25" customHeight="1" s="9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4.25" customHeight="1" s="9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4.25" customHeight="1" s="9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4.25" customHeight="1" s="9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4.25" customHeight="1" s="9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4.25" customHeight="1" s="9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4.25" customHeight="1" s="9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4.25" customHeight="1" s="9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4.25" customHeight="1" s="9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4.25" customHeight="1" s="9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4.25" customHeight="1" s="9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4.25" customHeight="1" s="9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4.25" customHeight="1" s="9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4.25" customHeight="1" s="9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4.25" customHeight="1" s="9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4.25" customHeight="1" s="9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4.25" customHeight="1" s="9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4.25" customHeight="1" s="9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4.25" customHeight="1" s="9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4.25" customHeight="1" s="9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4.25" customHeight="1" s="9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4.25" customHeight="1" s="9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4.25" customHeight="1" s="9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4.25" customHeight="1" s="9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4.25" customHeight="1" s="9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4.25" customHeight="1" s="9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4.25" customHeight="1" s="9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4.25" customHeight="1" s="9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4.25" customHeight="1" s="9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4.25" customHeight="1" s="9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4.25" customHeight="1" s="9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4.25" customHeight="1" s="9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4.25" customHeight="1" s="9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4.25" customHeight="1" s="9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4.25" customHeight="1" s="9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4.25" customHeight="1" s="9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4.25" customHeight="1" s="9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4.25" customHeight="1" s="9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4.25" customHeight="1" s="9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4.25" customHeight="1" s="9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4.25" customHeight="1" s="9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4.25" customHeight="1" s="9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4.25" customHeight="1" s="9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4.25" customHeight="1" s="9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4.25" customHeight="1" s="9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4.25" customHeight="1" s="9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4.25" customHeight="1" s="9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4.25" customHeight="1" s="9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4.25" customHeight="1" s="9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4.25" customHeight="1" s="9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4.25" customHeight="1" s="9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4.25" customHeight="1" s="9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4.25" customHeight="1" s="9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4.25" customHeight="1" s="9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4.25" customHeight="1" s="9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4.25" customHeight="1" s="9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4.25" customHeight="1" s="9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4.25" customHeight="1" s="9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4.25" customHeight="1" s="9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4.25" customHeight="1" s="9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4.25" customHeight="1" s="9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4.25" customHeight="1" s="9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4.25" customHeight="1" s="9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4.25" customHeight="1" s="9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4.25" customHeight="1" s="9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4.25" customHeight="1" s="9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4.25" customHeight="1" s="9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4.25" customHeight="1" s="9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4.25" customHeight="1" s="9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4.25" customHeight="1" s="9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4.25" customHeight="1" s="9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4.25" customHeight="1" s="9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4.25" customHeight="1" s="9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4.25" customHeight="1" s="9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4.25" customHeight="1" s="9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4.25" customHeight="1" s="9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4.25" customHeight="1" s="9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4.25" customHeight="1" s="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4.25" customHeight="1" s="9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4.25" customHeight="1" s="9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4.25" customHeight="1" s="9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4.25" customHeight="1" s="9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4.25" customHeight="1" s="9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4.25" customHeight="1" s="9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4.25" customHeight="1" s="9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4.25" customHeight="1" s="9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4.25" customHeight="1" s="9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4.25" customHeight="1" s="9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4.25" customHeight="1" s="9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4.25" customHeight="1" s="9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4.25" customHeight="1" s="9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4.25" customHeight="1" s="9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4.25" customHeight="1" s="9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4.25" customHeight="1" s="9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4.25" customHeight="1" s="9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4.25" customHeight="1" s="9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4.25" customHeight="1" s="9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4.25" customHeight="1" s="9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4.25" customHeight="1" s="9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4.25" customHeight="1" s="9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4.25" customHeight="1" s="9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4.25" customHeight="1" s="9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4.25" customHeight="1" s="9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4.25" customHeight="1" s="9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4.25" customHeight="1" s="9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4.25" customHeight="1" s="9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4.25" customHeight="1" s="9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4.25" customHeight="1" s="9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4.25" customHeight="1" s="9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4.25" customHeight="1" s="9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4.25" customHeight="1" s="9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4.25" customHeight="1" s="9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4.25" customHeight="1" s="9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4.25" customHeight="1" s="9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4.25" customHeight="1" s="9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4.25" customHeight="1" s="9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4.25" customHeight="1" s="9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4.25" customHeight="1" s="9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4.25" customHeight="1" s="9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4.25" customHeight="1" s="9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4.25" customHeight="1" s="9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4.25" customHeight="1" s="9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4.25" customHeight="1" s="9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4.25" customHeight="1" s="9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4.25" customHeight="1" s="9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4.25" customHeight="1" s="9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4.25" customHeight="1" s="9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4.25" customHeight="1" s="9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4.25" customHeight="1" s="9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4.25" customHeight="1" s="9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4.25" customHeight="1" s="9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4.25" customHeight="1" s="9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4.25" customHeight="1" s="9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4.25" customHeight="1" s="9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4.25" customHeight="1" s="9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4.25" customHeight="1" s="9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4.25" customHeight="1" s="9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4.25" customHeight="1" s="9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4.25" customHeight="1" s="9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4.25" customHeight="1" s="9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4.25" customHeight="1" s="9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4.25" customHeight="1" s="9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4.25" customHeight="1" s="9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4.25" customHeight="1" s="9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4.25" customHeight="1" s="9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4.25" customHeight="1" s="9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4.25" customHeight="1" s="9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4.25" customHeight="1" s="9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4.25" customHeight="1" s="9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4.25" customHeight="1" s="9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4.25" customHeight="1" s="9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4.25" customHeight="1" s="9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4.25" customHeight="1" s="9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4.25" customHeight="1" s="9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4.25" customHeight="1" s="9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4.25" customHeight="1" s="9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4.25" customHeight="1" s="9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4.25" customHeight="1" s="9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4.25" customHeight="1" s="9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4.25" customHeight="1" s="9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4.25" customHeight="1" s="9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4.25" customHeight="1" s="9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4.25" customHeight="1" s="9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4.25" customHeight="1" s="9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4.25" customHeight="1" s="9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4.25" customHeight="1" s="9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4.25" customHeight="1" s="9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4.25" customHeight="1" s="9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4.25" customHeight="1" s="9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4.25" customHeight="1" s="9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4.25" customHeight="1" s="9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4.25" customHeight="1" s="9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4.25" customHeight="1" s="9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4.25" customHeight="1" s="9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4.25" customHeight="1" s="9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4.25" customHeight="1" s="9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4.25" customHeight="1" s="9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4.25" customHeight="1" s="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4.25" customHeight="1" s="9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4.25" customHeight="1" s="9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4.25" customHeight="1" s="9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4.25" customHeight="1" s="9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4.25" customHeight="1" s="9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4.25" customHeight="1" s="9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4.25" customHeight="1" s="9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4.25" customHeight="1" s="9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4.25" customHeight="1" s="9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4.25" customHeight="1" s="9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4.25" customHeight="1" s="9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4.25" customHeight="1" s="9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4.25" customHeight="1" s="9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4.25" customHeight="1" s="9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4.25" customHeight="1" s="9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4.25" customHeight="1" s="9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4.25" customHeight="1" s="9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4.25" customHeight="1" s="9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4.25" customHeight="1" s="9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4.25" customHeight="1" s="9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4.25" customHeight="1" s="9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4.25" customHeight="1" s="9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4.25" customHeight="1" s="9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4.25" customHeight="1" s="9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4.25" customHeight="1" s="9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4.25" customHeight="1" s="9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4.25" customHeight="1" s="9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4.25" customHeight="1" s="9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4.25" customHeight="1" s="9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4.25" customHeight="1" s="9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4.25" customHeight="1" s="9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4.25" customHeight="1" s="9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4.25" customHeight="1" s="9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4.25" customHeight="1" s="9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4.25" customHeight="1" s="9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4.25" customHeight="1" s="9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4.25" customHeight="1" s="9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4.25" customHeight="1" s="9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4.25" customHeight="1" s="9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4.25" customHeight="1" s="9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4.25" customHeight="1" s="9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4.25" customHeight="1" s="9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4.25" customHeight="1" s="9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4.25" customHeight="1" s="9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4.25" customHeight="1" s="9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4.25" customHeight="1" s="9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4.25" customHeight="1" s="9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4.25" customHeight="1" s="9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4.25" customHeight="1" s="9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4.25" customHeight="1" s="9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4.25" customHeight="1" s="9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4.25" customHeight="1" s="9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4.25" customHeight="1" s="9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4.25" customHeight="1" s="9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4.25" customHeight="1" s="9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4.25" customHeight="1" s="9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4.25" customHeight="1" s="9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4.25" customHeight="1" s="9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4.25" customHeight="1" s="9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4.25" customHeight="1" s="9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4.25" customHeight="1" s="9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4.25" customHeight="1" s="9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4.25" customHeight="1" s="9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4.25" customHeight="1" s="9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4.25" customHeight="1" s="9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4.25" customHeight="1" s="9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4.25" customHeight="1" s="9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4.25" customHeight="1" s="9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4.25" customHeight="1" s="9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4.25" customHeight="1" s="9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4.25" customHeight="1" s="9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4.25" customHeight="1" s="9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4.25" customHeight="1" s="9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4.25" customHeight="1" s="9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4.25" customHeight="1" s="9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4.25" customHeight="1" s="9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4.25" customHeight="1" s="9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4.25" customHeight="1" s="9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4.25" customHeight="1" s="9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4.25" customHeight="1" s="9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4.25" customHeight="1" s="9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4.25" customHeight="1" s="9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4.25" customHeight="1" s="9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4.25" customHeight="1" s="9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4.25" customHeight="1" s="9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4.25" customHeight="1" s="9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4.25" customHeight="1" s="9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4.25" customHeight="1" s="9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4.25" customHeight="1" s="9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4.25" customHeight="1" s="9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4.25" customHeight="1" s="9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4.25" customHeight="1" s="9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4.25" customHeight="1" s="9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4.25" customHeight="1" s="9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4.25" customHeight="1" s="9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4.25" customHeight="1" s="9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4.25" customHeight="1" s="9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4.25" customHeight="1" s="9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4.25" customHeight="1" s="9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4.25" customHeight="1" s="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</sheetData>
  <mergeCells count="56">
    <mergeCell ref="B26:O26"/>
    <mergeCell ref="B13:C14"/>
    <mergeCell ref="B16:C16"/>
    <mergeCell ref="I14:O14"/>
    <mergeCell ref="D4:M4"/>
    <mergeCell ref="H53:O53"/>
    <mergeCell ref="D11:O11"/>
    <mergeCell ref="B54:I54"/>
    <mergeCell ref="B25:O25"/>
    <mergeCell ref="H50:O50"/>
    <mergeCell ref="B18:C18"/>
    <mergeCell ref="B53:G53"/>
    <mergeCell ref="B24:N24"/>
    <mergeCell ref="B22:O22"/>
    <mergeCell ref="D17:O17"/>
    <mergeCell ref="D2:M3"/>
    <mergeCell ref="I13:O13"/>
    <mergeCell ref="B12:C12"/>
    <mergeCell ref="J54:O54"/>
    <mergeCell ref="D16:O16"/>
    <mergeCell ref="B5:N5"/>
    <mergeCell ref="B11:C11"/>
    <mergeCell ref="B2:C4"/>
    <mergeCell ref="B49:G49"/>
    <mergeCell ref="H49:O49"/>
    <mergeCell ref="H51:O51"/>
    <mergeCell ref="D18:O18"/>
    <mergeCell ref="B17:C17"/>
    <mergeCell ref="D9:O9"/>
    <mergeCell ref="B7:N7"/>
    <mergeCell ref="H52:O52"/>
    <mergeCell ref="B51:G51"/>
    <mergeCell ref="B8:O8"/>
    <mergeCell ref="D15:O15"/>
    <mergeCell ref="B19:C19"/>
    <mergeCell ref="B10:C10"/>
    <mergeCell ref="B50:G50"/>
    <mergeCell ref="B21:N21"/>
    <mergeCell ref="B9:C9"/>
    <mergeCell ref="D20:O20"/>
    <mergeCell ref="B40:O40"/>
    <mergeCell ref="B47:G47"/>
    <mergeCell ref="B6:C6"/>
    <mergeCell ref="D12:N12"/>
    <mergeCell ref="D10:O10"/>
    <mergeCell ref="H47:O47"/>
    <mergeCell ref="B15:C15"/>
    <mergeCell ref="D19:O19"/>
    <mergeCell ref="H48:O48"/>
    <mergeCell ref="B20:C20"/>
    <mergeCell ref="N2:O3"/>
    <mergeCell ref="B33:O33"/>
    <mergeCell ref="B52:G52"/>
    <mergeCell ref="B48:G48"/>
    <mergeCell ref="N4:O4"/>
    <mergeCell ref="D6:O6"/>
  </mergeCells>
  <conditionalFormatting sqref="C30:N30">
    <cfRule type="cellIs" priority="1" operator="greaterThanOrEqual" dxfId="0">
      <formula>C31</formula>
    </cfRule>
    <cfRule type="cellIs" priority="2" operator="lessThan" dxfId="1">
      <formula>C31</formula>
    </cfRule>
  </conditionalFormatting>
  <conditionalFormatting sqref="C44:N44">
    <cfRule type="cellIs" priority="3" operator="greaterThanOrEqual" dxfId="0">
      <formula>C45</formula>
    </cfRule>
    <cfRule type="cellIs" priority="4" operator="lessThan" dxfId="1">
      <formula>C45</formula>
    </cfRule>
  </conditionalFormatting>
  <conditionalFormatting sqref="C37:O37">
    <cfRule type="cellIs" priority="5" operator="greaterThanOrEqual" dxfId="0">
      <formula>C38</formula>
    </cfRule>
    <cfRule type="cellIs" priority="6" operator="lessThan" dxfId="1">
      <formula>C38</formula>
    </cfRule>
  </conditionalFormatting>
  <conditionalFormatting sqref="D30:F30">
    <cfRule type="cellIs" priority="7" operator="greaterThanOrEqual" dxfId="0">
      <formula>D31</formula>
    </cfRule>
    <cfRule type="cellIs" priority="8" operator="lessThan" dxfId="1">
      <formula>D31</formula>
    </cfRule>
  </conditionalFormatting>
  <conditionalFormatting sqref="D37:F37">
    <cfRule type="cellIs" priority="9" operator="greaterThanOrEqual" dxfId="0">
      <formula>D38</formula>
    </cfRule>
    <cfRule type="cellIs" priority="10" operator="lessThan" dxfId="1">
      <formula>D38</formula>
    </cfRule>
  </conditionalFormatting>
  <conditionalFormatting sqref="D44:F44">
    <cfRule type="cellIs" priority="11" operator="greaterThanOrEqual" dxfId="0">
      <formula>D45</formula>
    </cfRule>
    <cfRule type="cellIs" priority="12" operator="lessThan" dxfId="1">
      <formula>D45</formula>
    </cfRule>
  </conditionalFormatting>
  <conditionalFormatting sqref="O30">
    <cfRule type="cellIs" priority="13" operator="greaterThanOrEqual" dxfId="0">
      <formula>O31</formula>
    </cfRule>
    <cfRule type="cellIs" priority="14" operator="lessThan" dxfId="1">
      <formula>O31</formula>
    </cfRule>
  </conditionalFormatting>
  <conditionalFormatting sqref="O37">
    <cfRule type="cellIs" priority="15" operator="greaterThanOrEqual" dxfId="0">
      <formula>O38</formula>
    </cfRule>
    <cfRule type="cellIs" priority="16" operator="lessThan" dxfId="1">
      <formula>O38</formula>
    </cfRule>
  </conditionalFormatting>
  <conditionalFormatting sqref="O44">
    <cfRule type="cellIs" priority="17" operator="greaterThanOrEqual" dxfId="0">
      <formula>O45</formula>
    </cfRule>
    <cfRule type="cellIs" priority="18" operator="lessThan" dxfId="1">
      <formula>O45</formula>
    </cfRule>
  </conditionalFormatting>
  <pageMargins left="0.5118110236220472" right="0.5118110236220472" top="0.5511811023622047" bottom="0.3543307086614174" header="0" footer="0"/>
  <pageSetup orientation="portrait"/>
  <rowBreaks count="1" manualBreakCount="1">
    <brk id="45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9"/>
  <sheetViews>
    <sheetView showGridLines="0" workbookViewId="0">
      <selection activeCell="D21" sqref="D21:O21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1.33203125" customWidth="1" style="99" min="4" max="4"/>
    <col width="9.33203125" customWidth="1" style="99" min="5" max="5"/>
    <col width="13.109375" customWidth="1" style="99" min="6" max="6"/>
    <col width="8" customWidth="1" style="99" min="7" max="7"/>
    <col width="9.44140625" customWidth="1" style="99" min="8" max="8"/>
    <col width="10.109375" customWidth="1" style="99" min="9" max="9"/>
    <col width="11" customWidth="1" style="99" min="10" max="10"/>
    <col width="15" customWidth="1" style="99" min="11" max="11"/>
    <col width="14.33203125" customWidth="1" style="99" min="12" max="12"/>
    <col width="14.5546875" customWidth="1" style="99" min="13" max="13"/>
    <col width="13.332031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42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11" t="inlineStr">
        <is>
          <t>OBJETIVO:</t>
        </is>
      </c>
      <c r="C6" s="193" t="n"/>
      <c r="D6" s="194" t="inlineStr">
        <is>
          <t>Establecer la severidad ocasionada por los accidentes de trabajo en la empresa Laboratorio LT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11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Severidad de los accidentes de trabajo (AT)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 2023:</t>
        </is>
      </c>
      <c r="C13" s="176" t="n"/>
      <c r="D13" s="30" t="inlineStr">
        <is>
          <t>&lt;=</t>
        </is>
      </c>
      <c r="E13" s="31" t="n">
        <v>25</v>
      </c>
      <c r="F13" s="32" t="inlineStr">
        <is>
          <t>CUMPLE</t>
        </is>
      </c>
      <c r="G13" s="28" t="n"/>
      <c r="H13" s="28" t="n"/>
      <c r="I13" s="28" t="n"/>
      <c r="J13" s="28" t="n"/>
      <c r="K13" s="28" t="n"/>
      <c r="L13" s="28" t="n"/>
      <c r="M13" s="28" t="n"/>
      <c r="N13" s="28" t="n"/>
      <c r="O13" s="18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30" t="inlineStr">
        <is>
          <t>&gt;</t>
        </is>
      </c>
      <c r="E14" s="31" t="n">
        <v>24</v>
      </c>
      <c r="F14" s="33" t="inlineStr">
        <is>
          <t>NO CUMPLE</t>
        </is>
      </c>
      <c r="G14" s="28" t="n"/>
      <c r="H14" s="28" t="n"/>
      <c r="I14" s="28" t="n"/>
      <c r="J14" s="28" t="n"/>
      <c r="K14" s="28" t="n"/>
      <c r="L14" s="28" t="n"/>
      <c r="M14" s="28" t="n"/>
      <c r="N14" s="28" t="n"/>
      <c r="O14" s="18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26" t="inlineStr">
        <is>
          <t>RANGOS DE MEDICIÓN Y META 2024:</t>
        </is>
      </c>
      <c r="C15" s="176" t="n"/>
      <c r="D15" s="30" t="inlineStr">
        <is>
          <t>&lt;=</t>
        </is>
      </c>
      <c r="E15" s="31" t="n">
        <v>24</v>
      </c>
      <c r="F15" s="32" t="inlineStr">
        <is>
          <t>CUMPLE</t>
        </is>
      </c>
      <c r="G15" s="28" t="n"/>
      <c r="H15" s="28" t="n"/>
      <c r="I15" s="28" t="n"/>
      <c r="J15" s="28" t="n"/>
      <c r="K15" s="28" t="n"/>
      <c r="L15" s="28" t="n"/>
      <c r="M15" s="28" t="n"/>
      <c r="N15" s="28" t="n"/>
      <c r="O15" s="18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99">
      <c r="A16" s="1" t="n"/>
      <c r="B16" s="186" t="n"/>
      <c r="C16" s="187" t="n"/>
      <c r="D16" s="30" t="inlineStr">
        <is>
          <t>&gt;</t>
        </is>
      </c>
      <c r="E16" s="31" t="n">
        <v>23</v>
      </c>
      <c r="F16" s="33" t="inlineStr">
        <is>
          <t>NO CUMPLE</t>
        </is>
      </c>
      <c r="G16" s="28" t="n"/>
      <c r="H16" s="28" t="n"/>
      <c r="I16" s="28" t="n"/>
      <c r="J16" s="28" t="n"/>
      <c r="K16" s="28" t="n"/>
      <c r="L16" s="28" t="n"/>
      <c r="M16" s="28" t="n"/>
      <c r="N16" s="28" t="n"/>
      <c r="O16" s="18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99">
      <c r="A17" s="1" t="n"/>
      <c r="B17" s="226" t="inlineStr">
        <is>
          <t>RANGOS DE MEDICIÓN Y META:
2025</t>
        </is>
      </c>
      <c r="C17" s="176" t="n"/>
      <c r="D17" s="30" t="inlineStr">
        <is>
          <t>&lt;=</t>
        </is>
      </c>
      <c r="E17" s="31" t="n">
        <v>22</v>
      </c>
      <c r="F17" s="32" t="inlineStr">
        <is>
          <t>CUMPLE</t>
        </is>
      </c>
      <c r="G17" s="34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25" customHeight="1" s="99">
      <c r="A18" s="1" t="n"/>
      <c r="B18" s="186" t="n"/>
      <c r="C18" s="187" t="n"/>
      <c r="D18" s="30" t="inlineStr">
        <is>
          <t>&gt;</t>
        </is>
      </c>
      <c r="E18" s="31" t="n">
        <v>21</v>
      </c>
      <c r="F18" s="33" t="inlineStr">
        <is>
          <t>NO CUMPLE</t>
        </is>
      </c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25" customHeight="1" s="99">
      <c r="A19" s="1" t="n"/>
      <c r="B19" s="215" t="inlineStr">
        <is>
          <t>ORIGEN DE LA INFORMACIÓN:</t>
        </is>
      </c>
      <c r="C19" s="193" t="n"/>
      <c r="D19" s="227" t="inlineStr">
        <is>
          <t>Caracterización de accidentes de trabajo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 s="99">
      <c r="A20" s="1" t="n"/>
      <c r="B20" s="215" t="inlineStr">
        <is>
          <t>FORMULA:</t>
        </is>
      </c>
      <c r="C20" s="193" t="n"/>
      <c r="D20" s="228" t="inlineStr">
        <is>
          <t># días pérdidos por AT+# días cargados por AT/#ro de trabajadores en el mes *100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" t="n"/>
      <c r="M20" s="1" t="n"/>
      <c r="N20" s="38" t="inlineStr">
        <is>
          <t>k=</t>
        </is>
      </c>
      <c r="O20" s="39" t="n">
        <v>100</v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99">
      <c r="A21" s="1" t="n"/>
      <c r="B21" s="215" t="inlineStr">
        <is>
          <t>TÉCNICA ESTADÍSTICA:</t>
        </is>
      </c>
      <c r="C21" s="193" t="n"/>
      <c r="D21" s="214" t="inlineStr">
        <is>
          <t>Grafico de barras</t>
        </is>
      </c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99">
      <c r="A22" s="1" t="n"/>
      <c r="B22" s="215" t="inlineStr">
        <is>
          <t>FRECUENCIA:</t>
        </is>
      </c>
      <c r="C22" s="193" t="n"/>
      <c r="D22" s="227" t="inlineStr">
        <is>
          <t>Mensual</t>
        </is>
      </c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99">
      <c r="A23" s="1" t="n"/>
      <c r="B23" s="215" t="inlineStr">
        <is>
          <t>TENDENCIA:</t>
        </is>
      </c>
      <c r="C23" s="193" t="n"/>
      <c r="D23" s="214" t="inlineStr">
        <is>
          <t>Descendente</t>
        </is>
      </c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99">
      <c r="A24" s="1" t="n"/>
      <c r="B24" s="215" t="inlineStr">
        <is>
          <t>UNIDAD DE MEDIDA:</t>
        </is>
      </c>
      <c r="C24" s="193" t="n"/>
      <c r="D24" s="214" t="inlineStr">
        <is>
          <t>Índice</t>
        </is>
      </c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8.25" customHeight="1" s="99">
      <c r="A25" s="1" t="n"/>
      <c r="B25" s="190" t="n"/>
      <c r="O25" s="19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229" t="inlineStr">
        <is>
          <t>DATOS DE MEDICIÓN</t>
        </is>
      </c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230" t="inlineStr">
        <is>
          <t>AÑO 2023</t>
        </is>
      </c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40" t="inlineStr">
        <is>
          <t>PARÁMETROS</t>
        </is>
      </c>
      <c r="C28" s="40" t="inlineStr">
        <is>
          <t>ENERO</t>
        </is>
      </c>
      <c r="D28" s="40" t="inlineStr">
        <is>
          <t>FEBRERO</t>
        </is>
      </c>
      <c r="E28" s="40" t="inlineStr">
        <is>
          <t>MARZO</t>
        </is>
      </c>
      <c r="F28" s="40" t="inlineStr">
        <is>
          <t>ABRIL</t>
        </is>
      </c>
      <c r="G28" s="40" t="inlineStr">
        <is>
          <t>MAYO</t>
        </is>
      </c>
      <c r="H28" s="40" t="inlineStr">
        <is>
          <t>JUNIO</t>
        </is>
      </c>
      <c r="I28" s="40" t="inlineStr">
        <is>
          <t>JULIO</t>
        </is>
      </c>
      <c r="J28" s="40" t="inlineStr">
        <is>
          <t>AGOSTO</t>
        </is>
      </c>
      <c r="K28" s="40" t="inlineStr">
        <is>
          <t>SEPTIEMBRE</t>
        </is>
      </c>
      <c r="L28" s="40" t="inlineStr">
        <is>
          <t>OCTUBRE</t>
        </is>
      </c>
      <c r="M28" s="40" t="inlineStr">
        <is>
          <t>NOVIEMBRE</t>
        </is>
      </c>
      <c r="N28" s="40" t="inlineStr">
        <is>
          <t>DICIEMBRE</t>
        </is>
      </c>
      <c r="O28" s="40" t="inlineStr">
        <is>
          <t>TOTAL 2023</t>
        </is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99">
      <c r="A29" s="1" t="n"/>
      <c r="B29" s="41" t="inlineStr">
        <is>
          <t>Número de trabajadores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42">
        <f>AVERAGE(C29:N29)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99">
      <c r="A30" s="1" t="n"/>
      <c r="B30" s="41" t="inlineStr">
        <is>
          <t>Número eventos (AT)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43">
        <f>SUM(C30:N30)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99">
      <c r="A31" s="1" t="n"/>
      <c r="B31" s="41" t="inlineStr">
        <is>
          <t>Días de Ausencia o perdidos AT</t>
        </is>
      </c>
      <c r="C31" s="44" t="n"/>
      <c r="D31" s="44" t="n"/>
      <c r="E31" s="44" t="n"/>
      <c r="F31" s="44" t="n"/>
      <c r="G31" s="44" t="n"/>
      <c r="H31" s="44" t="n"/>
      <c r="I31" s="15" t="n"/>
      <c r="J31" s="15" t="n"/>
      <c r="K31" s="15" t="n"/>
      <c r="L31" s="15" t="n"/>
      <c r="M31" s="15" t="n"/>
      <c r="N31" s="15" t="n"/>
      <c r="O31" s="42">
        <f>SUM(C31:N31)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45" t="inlineStr">
        <is>
          <t>% PCL por AT</t>
        </is>
      </c>
      <c r="C32" s="44" t="n"/>
      <c r="D32" s="44" t="n"/>
      <c r="E32" s="44" t="n"/>
      <c r="F32" s="44" t="n"/>
      <c r="G32" s="44" t="n"/>
      <c r="H32" s="44" t="n"/>
      <c r="I32" s="15" t="n"/>
      <c r="J32" s="15" t="n"/>
      <c r="K32" s="15" t="n"/>
      <c r="L32" s="15" t="n"/>
      <c r="M32" s="15" t="n"/>
      <c r="N32" s="15" t="n"/>
      <c r="O32" s="42">
        <f>SUM(C32:N32)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41" t="inlineStr">
        <is>
          <t>Días Cargados (6000*%PCL)</t>
        </is>
      </c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6">
        <f>6000*O32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45" t="inlineStr">
        <is>
          <t>Indice de Severidad</t>
        </is>
      </c>
      <c r="C34" s="42">
        <f>(C31+C33)/C29*$O$20</f>
        <v/>
      </c>
      <c r="D34" s="42">
        <f>(D31+D33)/D29*$O$20</f>
        <v/>
      </c>
      <c r="E34" s="42">
        <f>(E31+E33)/E29*$O$20</f>
        <v/>
      </c>
      <c r="F34" s="42">
        <f>(F31+F33)/F29*$O$20</f>
        <v/>
      </c>
      <c r="G34" s="42">
        <f>(G31+G33)/G29*$O$20</f>
        <v/>
      </c>
      <c r="H34" s="42">
        <f>(H31+H33)/H29*$O$20</f>
        <v/>
      </c>
      <c r="I34" s="42">
        <f>(I31+I33)/I29*$O$20</f>
        <v/>
      </c>
      <c r="J34" s="42">
        <f>(J31+J33)/J29*$O$20</f>
        <v/>
      </c>
      <c r="K34" s="42">
        <f>(K31+K33)/K29*$O$20</f>
        <v/>
      </c>
      <c r="L34" s="42">
        <f>(L31+L33)/L29*$O$20</f>
        <v/>
      </c>
      <c r="M34" s="42">
        <f>(M31+M33)/M29*$O$20</f>
        <v/>
      </c>
      <c r="N34" s="42">
        <f>(N31+N33)/N29*$O$20</f>
        <v/>
      </c>
      <c r="O34" s="42">
        <f>(O31+O33)/O29*$O$20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45" t="inlineStr">
        <is>
          <t>Meta</t>
        </is>
      </c>
      <c r="C35" s="47">
        <f>$E$17</f>
        <v/>
      </c>
      <c r="D35" s="47">
        <f>$E$17</f>
        <v/>
      </c>
      <c r="E35" s="47">
        <f>$E$17</f>
        <v/>
      </c>
      <c r="F35" s="47">
        <f>$E$17</f>
        <v/>
      </c>
      <c r="G35" s="47">
        <f>$E$17</f>
        <v/>
      </c>
      <c r="H35" s="47">
        <f>$E$17</f>
        <v/>
      </c>
      <c r="I35" s="47">
        <f>$E$17</f>
        <v/>
      </c>
      <c r="J35" s="47">
        <f>$E$17</f>
        <v/>
      </c>
      <c r="K35" s="47">
        <f>$E$17</f>
        <v/>
      </c>
      <c r="L35" s="47">
        <f>$E$17</f>
        <v/>
      </c>
      <c r="M35" s="47">
        <f>$E$17</f>
        <v/>
      </c>
      <c r="N35" s="47">
        <f>$E$17</f>
        <v/>
      </c>
      <c r="O35" s="48">
        <f>$E$17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8.25" customHeight="1" s="99">
      <c r="A36" s="1" t="n"/>
      <c r="B36" s="231" t="n"/>
      <c r="O36" s="19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229" t="inlineStr">
        <is>
          <t>AÑO 2024</t>
        </is>
      </c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99">
      <c r="A38" s="1" t="n"/>
      <c r="B38" s="40" t="inlineStr">
        <is>
          <t>PARÁMETROS</t>
        </is>
      </c>
      <c r="C38" s="40" t="inlineStr">
        <is>
          <t>ENERO</t>
        </is>
      </c>
      <c r="D38" s="40" t="inlineStr">
        <is>
          <t>FEBRERO</t>
        </is>
      </c>
      <c r="E38" s="40" t="inlineStr">
        <is>
          <t>MARZO</t>
        </is>
      </c>
      <c r="F38" s="40" t="inlineStr">
        <is>
          <t>ABRIL</t>
        </is>
      </c>
      <c r="G38" s="40" t="inlineStr">
        <is>
          <t>MAYO</t>
        </is>
      </c>
      <c r="H38" s="40" t="inlineStr">
        <is>
          <t>JUNIO</t>
        </is>
      </c>
      <c r="I38" s="40" t="inlineStr">
        <is>
          <t>JULIO</t>
        </is>
      </c>
      <c r="J38" s="40" t="inlineStr">
        <is>
          <t>AGOSTO</t>
        </is>
      </c>
      <c r="K38" s="40" t="inlineStr">
        <is>
          <t>SEPTIEMBRE</t>
        </is>
      </c>
      <c r="L38" s="40" t="inlineStr">
        <is>
          <t>OCTUBRE</t>
        </is>
      </c>
      <c r="M38" s="40" t="inlineStr">
        <is>
          <t>NOVIEMBRE</t>
        </is>
      </c>
      <c r="N38" s="40" t="inlineStr">
        <is>
          <t>DICIEMBRE</t>
        </is>
      </c>
      <c r="O38" s="40" t="inlineStr">
        <is>
          <t>TOTAL 2024</t>
        </is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41" t="inlineStr">
        <is>
          <t>Número de trabajadores</t>
        </is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42">
        <f>AVERAGE(C39:N39)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99">
      <c r="A40" s="1" t="n"/>
      <c r="B40" s="41" t="inlineStr">
        <is>
          <t>Número eventos (AT)</t>
        </is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43">
        <f>SUM(C40:N40)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41" t="inlineStr">
        <is>
          <t>Días de Ausencia o perdidos AT</t>
        </is>
      </c>
      <c r="C41" s="44" t="n"/>
      <c r="D41" s="44" t="n"/>
      <c r="E41" s="44" t="n"/>
      <c r="F41" s="44" t="n"/>
      <c r="G41" s="44" t="n"/>
      <c r="H41" s="44" t="n"/>
      <c r="I41" s="15" t="n"/>
      <c r="J41" s="15" t="n"/>
      <c r="K41" s="15" t="n"/>
      <c r="L41" s="15" t="n"/>
      <c r="M41" s="15" t="n"/>
      <c r="N41" s="15" t="n"/>
      <c r="O41" s="42">
        <f>SUM(C41:N41)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45" t="inlineStr">
        <is>
          <t>% PCL por AT</t>
        </is>
      </c>
      <c r="C42" s="44" t="n"/>
      <c r="D42" s="44" t="n"/>
      <c r="E42" s="49" t="n"/>
      <c r="F42" s="44" t="n"/>
      <c r="G42" s="44" t="n"/>
      <c r="H42" s="44" t="n"/>
      <c r="I42" s="15" t="n"/>
      <c r="J42" s="15" t="n"/>
      <c r="K42" s="15" t="n"/>
      <c r="L42" s="15" t="n"/>
      <c r="M42" s="15" t="n"/>
      <c r="N42" s="15" t="n"/>
      <c r="O42" s="42">
        <f>SUM(C42:N42)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41" t="inlineStr">
        <is>
          <t>Días Cargados (6000*%PCL)</t>
        </is>
      </c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>
        <f>6000*O42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41" t="inlineStr">
        <is>
          <t>Indice de Severidad</t>
        </is>
      </c>
      <c r="C44" s="42">
        <f>(C41+C43)/C39*$O$20</f>
        <v/>
      </c>
      <c r="D44" s="42">
        <f>(D41+D43)/D39*$O$20</f>
        <v/>
      </c>
      <c r="E44" s="42">
        <f>(E41+E43)/E39*$O$20</f>
        <v/>
      </c>
      <c r="F44" s="42">
        <f>(F41+F43)/F39*$O$20</f>
        <v/>
      </c>
      <c r="G44" s="42">
        <f>(G41+G43)/G39*$O$20</f>
        <v/>
      </c>
      <c r="H44" s="42">
        <f>(H41+H43)/H39*$O$20</f>
        <v/>
      </c>
      <c r="I44" s="42">
        <f>(I41+I43)/I39*$O$20</f>
        <v/>
      </c>
      <c r="J44" s="42">
        <f>(J41+J43)/J39*$O$20</f>
        <v/>
      </c>
      <c r="K44" s="42">
        <f>(K41+K43)/K39*$O$20</f>
        <v/>
      </c>
      <c r="L44" s="42">
        <f>(L41+L43)/L39*$O$20</f>
        <v/>
      </c>
      <c r="M44" s="42">
        <f>(M41+M43)/M39*$O$20</f>
        <v/>
      </c>
      <c r="N44" s="42">
        <f>(N41+N43)/N39*$O$20</f>
        <v/>
      </c>
      <c r="O44" s="42">
        <f>(O41+O43)/O39*$O$20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5" t="inlineStr">
        <is>
          <t>Meta</t>
        </is>
      </c>
      <c r="C45" s="47">
        <f>$E$17</f>
        <v/>
      </c>
      <c r="D45" s="47">
        <f>$E$17</f>
        <v/>
      </c>
      <c r="E45" s="47">
        <f>$E$17</f>
        <v/>
      </c>
      <c r="F45" s="47">
        <f>$E$17</f>
        <v/>
      </c>
      <c r="G45" s="47">
        <f>$E$17</f>
        <v/>
      </c>
      <c r="H45" s="47">
        <f>$E$17</f>
        <v/>
      </c>
      <c r="I45" s="47">
        <f>$E$17</f>
        <v/>
      </c>
      <c r="J45" s="47">
        <f>$E$17</f>
        <v/>
      </c>
      <c r="K45" s="47">
        <f>$E$17</f>
        <v/>
      </c>
      <c r="L45" s="47">
        <f>$E$17</f>
        <v/>
      </c>
      <c r="M45" s="47">
        <f>$E$17</f>
        <v/>
      </c>
      <c r="N45" s="47">
        <f>$E$17</f>
        <v/>
      </c>
      <c r="O45" s="48">
        <f>$E$17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8.25" customHeight="1" s="99">
      <c r="A46" s="1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99">
      <c r="A47" s="1" t="n"/>
      <c r="B47" s="229" t="inlineStr">
        <is>
          <t>AÑO 2025</t>
        </is>
      </c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3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99">
      <c r="A48" s="1" t="n"/>
      <c r="B48" s="40" t="inlineStr">
        <is>
          <t>PARÁMETROS</t>
        </is>
      </c>
      <c r="C48" s="50" t="inlineStr">
        <is>
          <t>ENERO</t>
        </is>
      </c>
      <c r="D48" s="50" t="inlineStr">
        <is>
          <t>FEBRERO</t>
        </is>
      </c>
      <c r="E48" s="50" t="inlineStr">
        <is>
          <t>MARZO</t>
        </is>
      </c>
      <c r="F48" s="50" t="inlineStr">
        <is>
          <t>ABRIL</t>
        </is>
      </c>
      <c r="G48" s="50" t="inlineStr">
        <is>
          <t>MAYO</t>
        </is>
      </c>
      <c r="H48" s="50" t="inlineStr">
        <is>
          <t>JUNIO</t>
        </is>
      </c>
      <c r="I48" s="50" t="inlineStr">
        <is>
          <t>JULIO</t>
        </is>
      </c>
      <c r="J48" s="50" t="inlineStr">
        <is>
          <t>AGOSTO</t>
        </is>
      </c>
      <c r="K48" s="50" t="inlineStr">
        <is>
          <t>SEPTIEMBRE</t>
        </is>
      </c>
      <c r="L48" s="50" t="inlineStr">
        <is>
          <t>OCTUBRE</t>
        </is>
      </c>
      <c r="M48" s="50" t="inlineStr">
        <is>
          <t>NOVIEMBRE</t>
        </is>
      </c>
      <c r="N48" s="50" t="inlineStr">
        <is>
          <t>DICIEMBRE</t>
        </is>
      </c>
      <c r="O48" s="50" t="inlineStr">
        <is>
          <t>TOTAL 2025</t>
        </is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99">
      <c r="A49" s="1" t="n"/>
      <c r="B49" s="41" t="inlineStr">
        <is>
          <t>Número de trabajadores</t>
        </is>
      </c>
      <c r="C49" s="15" t="n"/>
      <c r="D49" s="51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42">
        <f>AVERAGE(C49:N49)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99">
      <c r="A50" s="1" t="n"/>
      <c r="B50" s="41" t="inlineStr">
        <is>
          <t>Número eventos (AT)</t>
        </is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42">
        <f>SUM(C50:M50)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99">
      <c r="A51" s="1" t="n"/>
      <c r="B51" s="41" t="inlineStr">
        <is>
          <t>Días de Ausencia o perdidos AT</t>
        </is>
      </c>
      <c r="C51" s="44" t="n"/>
      <c r="D51" s="44" t="n"/>
      <c r="E51" s="44" t="n"/>
      <c r="F51" s="44" t="n"/>
      <c r="G51" s="44" t="n"/>
      <c r="H51" s="44" t="n"/>
      <c r="I51" s="15" t="n"/>
      <c r="J51" s="15" t="n"/>
      <c r="K51" s="15" t="n"/>
      <c r="L51" s="15" t="n"/>
      <c r="M51" s="15" t="n"/>
      <c r="N51" s="15" t="n"/>
      <c r="O51" s="42">
        <f>SUM(C51:M51)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99">
      <c r="A52" s="1" t="n"/>
      <c r="B52" s="45" t="inlineStr">
        <is>
          <t>% PCL por AT</t>
        </is>
      </c>
      <c r="C52" s="44" t="n"/>
      <c r="D52" s="44" t="n"/>
      <c r="E52" s="44" t="n"/>
      <c r="F52" s="44" t="n"/>
      <c r="G52" s="44" t="n"/>
      <c r="H52" s="44" t="n"/>
      <c r="I52" s="15" t="n"/>
      <c r="J52" s="15" t="n"/>
      <c r="K52" s="15" t="n"/>
      <c r="L52" s="15" t="n"/>
      <c r="M52" s="15" t="n"/>
      <c r="N52" s="15" t="n"/>
      <c r="O52" s="42">
        <f>SUM(C52:M52)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99">
      <c r="A53" s="1" t="n"/>
      <c r="B53" s="41" t="inlineStr">
        <is>
          <t>Días Cargados (6000*%PCL)</t>
        </is>
      </c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>
        <f>6000*O52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99">
      <c r="A54" s="1" t="n"/>
      <c r="B54" s="45" t="inlineStr">
        <is>
          <t>Indice de Severidad</t>
        </is>
      </c>
      <c r="C54" s="42">
        <f>(C51+C53)/C49*$O$20</f>
        <v/>
      </c>
      <c r="D54" s="42">
        <f>(D51+D53)/D49*$O$20</f>
        <v/>
      </c>
      <c r="E54" s="42">
        <f>(E51+E53)/E49*$O$20</f>
        <v/>
      </c>
      <c r="F54" s="42">
        <f>(F51+F53)/F49*$O$20</f>
        <v/>
      </c>
      <c r="G54" s="42">
        <f>(G51+G53)/G49*$O$20</f>
        <v/>
      </c>
      <c r="H54" s="42">
        <f>(H51+H53)/H49*$O$20</f>
        <v/>
      </c>
      <c r="I54" s="42">
        <f>(I51+I53)/I49*$O$20</f>
        <v/>
      </c>
      <c r="J54" s="42">
        <f>(J51+J53)/J49*$O$20</f>
        <v/>
      </c>
      <c r="K54" s="42">
        <f>(K51+K53)/K49*$O$20</f>
        <v/>
      </c>
      <c r="L54" s="42">
        <f>(L51+L53)/L49*$O$20</f>
        <v/>
      </c>
      <c r="M54" s="42">
        <f>(M51+M53)/M49*$O$20</f>
        <v/>
      </c>
      <c r="N54" s="42">
        <f>(N51+N53)/N49*$O$20</f>
        <v/>
      </c>
      <c r="O54" s="42">
        <f>(O51+O53)/O49*$O$20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99">
      <c r="A55" s="1" t="n"/>
      <c r="B55" s="45" t="inlineStr">
        <is>
          <t>Meta</t>
        </is>
      </c>
      <c r="C55" s="47">
        <f>$E$17</f>
        <v/>
      </c>
      <c r="D55" s="47">
        <f>$E$17</f>
        <v/>
      </c>
      <c r="E55" s="47">
        <f>$E$17</f>
        <v/>
      </c>
      <c r="F55" s="47">
        <f>$E$17</f>
        <v/>
      </c>
      <c r="G55" s="47">
        <f>$E$17</f>
        <v/>
      </c>
      <c r="H55" s="47">
        <f>$E$17</f>
        <v/>
      </c>
      <c r="I55" s="47">
        <f>$E$17</f>
        <v/>
      </c>
      <c r="J55" s="47">
        <f>$E$17</f>
        <v/>
      </c>
      <c r="K55" s="47">
        <f>$E$17</f>
        <v/>
      </c>
      <c r="L55" s="47">
        <f>$E$17</f>
        <v/>
      </c>
      <c r="M55" s="47">
        <f>$E$17</f>
        <v/>
      </c>
      <c r="N55" s="47">
        <f>$E$17</f>
        <v/>
      </c>
      <c r="O55" s="48">
        <f>$E$17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8.25" customHeight="1" s="99">
      <c r="A56" s="1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99">
      <c r="A57" s="1" t="n"/>
      <c r="B57" s="232" t="inlineStr">
        <is>
          <t>GRAFICA DEL INDICADOR</t>
        </is>
      </c>
      <c r="C57" s="203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  <c r="M57" s="203" t="n"/>
      <c r="N57" s="203" t="n"/>
      <c r="O57" s="176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93" customHeight="1" s="99">
      <c r="A58" s="1" t="n"/>
      <c r="B58" s="52" t="n"/>
      <c r="C58" s="53" t="n"/>
      <c r="D58" s="53" t="n"/>
      <c r="E58" s="53" t="n"/>
      <c r="F58" s="53" t="n"/>
      <c r="G58" s="53" t="n"/>
      <c r="H58" s="53" t="n"/>
      <c r="I58" s="54" t="n"/>
      <c r="J58" s="53" t="n"/>
      <c r="K58" s="53" t="n"/>
      <c r="L58" s="53" t="n"/>
      <c r="M58" s="53" t="n"/>
      <c r="N58" s="53" t="n"/>
      <c r="O58" s="54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9" customHeight="1" s="9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99">
      <c r="A60" s="1" t="n"/>
      <c r="B60" s="233" t="inlineStr">
        <is>
          <t>ANÁLISIS</t>
        </is>
      </c>
      <c r="C60" s="195" t="n"/>
      <c r="D60" s="195" t="n"/>
      <c r="E60" s="195" t="n"/>
      <c r="F60" s="195" t="n"/>
      <c r="G60" s="195" t="n"/>
      <c r="H60" s="195" t="n"/>
      <c r="I60" s="193" t="n"/>
      <c r="J60" s="233" t="inlineStr">
        <is>
          <t>ACCIONES DE MEJORA</t>
        </is>
      </c>
      <c r="K60" s="195" t="n"/>
      <c r="L60" s="195" t="n"/>
      <c r="M60" s="195" t="n"/>
      <c r="N60" s="195" t="n"/>
      <c r="O60" s="19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5.25" customHeight="1" s="99">
      <c r="A61" s="1" t="n"/>
      <c r="B61" s="206" t="n"/>
      <c r="C61" s="195" t="n"/>
      <c r="D61" s="195" t="n"/>
      <c r="E61" s="195" t="n"/>
      <c r="F61" s="195" t="n"/>
      <c r="G61" s="195" t="n"/>
      <c r="H61" s="195" t="n"/>
      <c r="I61" s="193" t="n"/>
      <c r="J61" s="206" t="n"/>
      <c r="K61" s="195" t="n"/>
      <c r="L61" s="195" t="n"/>
      <c r="M61" s="195" t="n"/>
      <c r="N61" s="195" t="n"/>
      <c r="O61" s="193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5.25" customHeight="1" s="99">
      <c r="A62" s="1" t="n"/>
      <c r="B62" s="206" t="n"/>
      <c r="C62" s="195" t="n"/>
      <c r="D62" s="195" t="n"/>
      <c r="E62" s="195" t="n"/>
      <c r="F62" s="195" t="n"/>
      <c r="G62" s="195" t="n"/>
      <c r="H62" s="195" t="n"/>
      <c r="I62" s="193" t="n"/>
      <c r="J62" s="206" t="n"/>
      <c r="K62" s="195" t="n"/>
      <c r="L62" s="195" t="n"/>
      <c r="M62" s="195" t="n"/>
      <c r="N62" s="195" t="n"/>
      <c r="O62" s="193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99">
      <c r="A63" s="1" t="n"/>
      <c r="B63" s="206" t="n"/>
      <c r="C63" s="195" t="n"/>
      <c r="D63" s="195" t="n"/>
      <c r="E63" s="195" t="n"/>
      <c r="F63" s="195" t="n"/>
      <c r="G63" s="195" t="n"/>
      <c r="H63" s="195" t="n"/>
      <c r="I63" s="193" t="n"/>
      <c r="J63" s="206" t="n"/>
      <c r="K63" s="195" t="n"/>
      <c r="L63" s="195" t="n"/>
      <c r="M63" s="195" t="n"/>
      <c r="N63" s="195" t="n"/>
      <c r="O63" s="193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5.25" customHeight="1" s="99">
      <c r="A64" s="1" t="n"/>
      <c r="B64" s="206" t="n"/>
      <c r="C64" s="195" t="n"/>
      <c r="D64" s="195" t="n"/>
      <c r="E64" s="195" t="n"/>
      <c r="F64" s="195" t="n"/>
      <c r="G64" s="195" t="n"/>
      <c r="H64" s="195" t="n"/>
      <c r="I64" s="193" t="n"/>
      <c r="J64" s="206" t="n"/>
      <c r="K64" s="195" t="n"/>
      <c r="L64" s="195" t="n"/>
      <c r="M64" s="195" t="n"/>
      <c r="N64" s="195" t="n"/>
      <c r="O64" s="193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5.25" customHeight="1" s="99">
      <c r="A65" s="1" t="n"/>
      <c r="B65" s="206" t="n"/>
      <c r="C65" s="195" t="n"/>
      <c r="D65" s="195" t="n"/>
      <c r="E65" s="195" t="n"/>
      <c r="F65" s="195" t="n"/>
      <c r="G65" s="195" t="n"/>
      <c r="H65" s="195" t="n"/>
      <c r="I65" s="193" t="n"/>
      <c r="J65" s="206" t="n"/>
      <c r="K65" s="195" t="n"/>
      <c r="L65" s="195" t="n"/>
      <c r="M65" s="195" t="n"/>
      <c r="N65" s="195" t="n"/>
      <c r="O65" s="193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5.25" customHeight="1" s="99">
      <c r="A66" s="1" t="n"/>
      <c r="B66" s="206" t="n"/>
      <c r="C66" s="195" t="n"/>
      <c r="D66" s="195" t="n"/>
      <c r="E66" s="195" t="n"/>
      <c r="F66" s="195" t="n"/>
      <c r="G66" s="195" t="n"/>
      <c r="H66" s="195" t="n"/>
      <c r="I66" s="193" t="n"/>
      <c r="J66" s="206" t="n"/>
      <c r="K66" s="195" t="n"/>
      <c r="L66" s="195" t="n"/>
      <c r="M66" s="195" t="n"/>
      <c r="N66" s="195" t="n"/>
      <c r="O66" s="193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5.25" customHeight="1" s="99">
      <c r="A67" s="1" t="n"/>
      <c r="B67" s="206" t="n"/>
      <c r="C67" s="195" t="n"/>
      <c r="D67" s="195" t="n"/>
      <c r="E67" s="195" t="n"/>
      <c r="F67" s="195" t="n"/>
      <c r="G67" s="195" t="n"/>
      <c r="H67" s="195" t="n"/>
      <c r="I67" s="193" t="n"/>
      <c r="J67" s="206" t="n"/>
      <c r="K67" s="195" t="n"/>
      <c r="L67" s="195" t="n"/>
      <c r="M67" s="195" t="n"/>
      <c r="N67" s="195" t="n"/>
      <c r="O67" s="193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55" t="inlineStr">
        <is>
          <t>ACCIDENTES POR PELIGRO</t>
        </is>
      </c>
      <c r="C71" s="188" t="n"/>
      <c r="D71" s="188" t="n"/>
      <c r="E71" s="188" t="n"/>
      <c r="F71" s="188" t="n"/>
      <c r="G71" s="188" t="n"/>
      <c r="H71" s="188" t="n"/>
      <c r="I71" s="188" t="n"/>
      <c r="J71" s="189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55" t="inlineStr">
        <is>
          <t>MES</t>
        </is>
      </c>
      <c r="C72" s="56" t="inlineStr">
        <is>
          <t>BIOLOGICO</t>
        </is>
      </c>
      <c r="D72" s="56" t="inlineStr">
        <is>
          <t>SEGURIDAD</t>
        </is>
      </c>
      <c r="E72" s="56" t="inlineStr">
        <is>
          <t>BIOMECANICO</t>
        </is>
      </c>
      <c r="F72" s="56" t="inlineStr">
        <is>
          <t>ELECTRICO</t>
        </is>
      </c>
      <c r="G72" s="56" t="inlineStr">
        <is>
          <t>MECÁNICO</t>
        </is>
      </c>
      <c r="H72" s="56" t="inlineStr">
        <is>
          <t>QUIMICO</t>
        </is>
      </c>
      <c r="I72" s="56" t="inlineStr">
        <is>
          <t>ALTURAS</t>
        </is>
      </c>
      <c r="J72" s="56" t="inlineStr">
        <is>
          <t>PUBLICO</t>
        </is>
      </c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57" t="inlineStr">
        <is>
          <t>ENERO</t>
        </is>
      </c>
      <c r="C73" s="58" t="n">
        <v>0</v>
      </c>
      <c r="D73" s="58" t="n">
        <v>0</v>
      </c>
      <c r="E73" s="59" t="n">
        <v>0</v>
      </c>
      <c r="F73" s="59" t="n">
        <v>0</v>
      </c>
      <c r="G73" s="59" t="n">
        <v>0</v>
      </c>
      <c r="H73" s="59" t="n">
        <v>0</v>
      </c>
      <c r="I73" s="59" t="n">
        <v>0</v>
      </c>
      <c r="J73" s="60" t="n">
        <v>0</v>
      </c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61" t="inlineStr">
        <is>
          <t>FEBRERO</t>
        </is>
      </c>
      <c r="C74" s="58" t="n">
        <v>0</v>
      </c>
      <c r="D74" s="62" t="n">
        <v>0</v>
      </c>
      <c r="E74" s="60" t="n">
        <v>0</v>
      </c>
      <c r="F74" s="60" t="n">
        <v>0</v>
      </c>
      <c r="G74" s="60" t="n">
        <v>0</v>
      </c>
      <c r="H74" s="60" t="n">
        <v>0</v>
      </c>
      <c r="I74" s="60" t="n">
        <v>0</v>
      </c>
      <c r="J74" s="60" t="n">
        <v>0</v>
      </c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61" t="inlineStr">
        <is>
          <t>MARZO</t>
        </is>
      </c>
      <c r="C75" s="58" t="n">
        <v>0</v>
      </c>
      <c r="D75" s="62" t="n">
        <v>0</v>
      </c>
      <c r="E75" s="60" t="n">
        <v>0</v>
      </c>
      <c r="F75" s="60" t="n">
        <v>0</v>
      </c>
      <c r="G75" s="60" t="n">
        <v>0</v>
      </c>
      <c r="H75" s="60" t="n">
        <v>0</v>
      </c>
      <c r="I75" s="60" t="n">
        <v>0</v>
      </c>
      <c r="J75" s="60" t="n">
        <v>0</v>
      </c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61" t="inlineStr">
        <is>
          <t>ABRIL</t>
        </is>
      </c>
      <c r="C76" s="58" t="n">
        <v>0</v>
      </c>
      <c r="D76" s="62" t="n">
        <v>0</v>
      </c>
      <c r="E76" s="60" t="n">
        <v>0</v>
      </c>
      <c r="F76" s="60" t="n">
        <v>0</v>
      </c>
      <c r="G76" s="60" t="n">
        <v>0</v>
      </c>
      <c r="H76" s="60" t="n">
        <v>0</v>
      </c>
      <c r="I76" s="60" t="n">
        <v>0</v>
      </c>
      <c r="J76" s="60" t="n">
        <v>0</v>
      </c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61" t="inlineStr">
        <is>
          <t>MAYO</t>
        </is>
      </c>
      <c r="C77" s="58" t="n">
        <v>0</v>
      </c>
      <c r="D77" s="62" t="n">
        <v>0</v>
      </c>
      <c r="E77" s="60" t="n">
        <v>0</v>
      </c>
      <c r="F77" s="60" t="n">
        <v>0</v>
      </c>
      <c r="G77" s="60" t="n">
        <v>0</v>
      </c>
      <c r="H77" s="60" t="n">
        <v>0</v>
      </c>
      <c r="I77" s="60" t="n">
        <v>0</v>
      </c>
      <c r="J77" s="60" t="n">
        <v>0</v>
      </c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61" t="inlineStr">
        <is>
          <t>JUNIO</t>
        </is>
      </c>
      <c r="C78" s="58" t="n">
        <v>0</v>
      </c>
      <c r="D78" s="60" t="n">
        <v>0</v>
      </c>
      <c r="E78" s="60" t="n">
        <v>0</v>
      </c>
      <c r="F78" s="60" t="n">
        <v>0</v>
      </c>
      <c r="G78" s="60" t="n">
        <v>0</v>
      </c>
      <c r="H78" s="60" t="n">
        <v>0</v>
      </c>
      <c r="I78" s="60" t="n">
        <v>0</v>
      </c>
      <c r="J78" s="60" t="n">
        <v>0</v>
      </c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61" t="inlineStr">
        <is>
          <t>JULIO</t>
        </is>
      </c>
      <c r="C79" s="62" t="n">
        <v>0</v>
      </c>
      <c r="D79" s="60" t="n">
        <v>0</v>
      </c>
      <c r="E79" s="60" t="n">
        <v>0</v>
      </c>
      <c r="F79" s="60" t="n">
        <v>0</v>
      </c>
      <c r="G79" s="60" t="n">
        <v>0</v>
      </c>
      <c r="H79" s="60" t="n">
        <v>0</v>
      </c>
      <c r="I79" s="60" t="n">
        <v>0</v>
      </c>
      <c r="J79" s="60" t="n">
        <v>0</v>
      </c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61" t="inlineStr">
        <is>
          <t>AGOSTO</t>
        </is>
      </c>
      <c r="C80" s="60" t="n">
        <v>0</v>
      </c>
      <c r="D80" s="60" t="n">
        <v>0</v>
      </c>
      <c r="E80" s="60" t="n">
        <v>0</v>
      </c>
      <c r="F80" s="60" t="n">
        <v>0</v>
      </c>
      <c r="G80" s="60" t="n">
        <v>0</v>
      </c>
      <c r="H80" s="60" t="n">
        <v>0</v>
      </c>
      <c r="I80" s="60" t="n">
        <v>0</v>
      </c>
      <c r="J80" s="60" t="n">
        <v>0</v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61" t="inlineStr">
        <is>
          <t>SEPTIEMBRE</t>
        </is>
      </c>
      <c r="C81" s="63" t="n">
        <v>0</v>
      </c>
      <c r="D81" s="60" t="n">
        <v>0</v>
      </c>
      <c r="E81" s="60" t="n">
        <v>0</v>
      </c>
      <c r="F81" s="60" t="n">
        <v>0</v>
      </c>
      <c r="G81" s="60" t="n">
        <v>0</v>
      </c>
      <c r="H81" s="60" t="n">
        <v>0</v>
      </c>
      <c r="I81" s="60" t="n">
        <v>0</v>
      </c>
      <c r="J81" s="60" t="n">
        <v>0</v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61" t="inlineStr">
        <is>
          <t>OCTUBRE</t>
        </is>
      </c>
      <c r="C82" s="62" t="n">
        <v>0</v>
      </c>
      <c r="D82" s="60" t="n">
        <v>0</v>
      </c>
      <c r="E82" s="62" t="n">
        <v>0</v>
      </c>
      <c r="F82" s="60" t="n">
        <v>0</v>
      </c>
      <c r="G82" s="60" t="n">
        <v>0</v>
      </c>
      <c r="H82" s="60" t="n">
        <v>0</v>
      </c>
      <c r="I82" s="60" t="n">
        <v>0</v>
      </c>
      <c r="J82" s="60" t="n">
        <v>0</v>
      </c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61" t="inlineStr">
        <is>
          <t>NOVIEMBRE</t>
        </is>
      </c>
      <c r="C83" s="60" t="n">
        <v>0</v>
      </c>
      <c r="D83" s="59" t="n">
        <v>0</v>
      </c>
      <c r="E83" s="60" t="n">
        <v>1</v>
      </c>
      <c r="F83" s="60" t="n">
        <v>0</v>
      </c>
      <c r="G83" s="60" t="n">
        <v>0</v>
      </c>
      <c r="H83" s="64" t="n">
        <v>0</v>
      </c>
      <c r="I83" s="60" t="n">
        <v>0</v>
      </c>
      <c r="J83" s="60" t="n">
        <v>0</v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61" t="inlineStr">
        <is>
          <t>DICIEMBRE</t>
        </is>
      </c>
      <c r="C84" s="65" t="n"/>
      <c r="D84" s="66" t="n"/>
      <c r="E84" s="67" t="n"/>
      <c r="F84" s="59" t="n"/>
      <c r="G84" s="59" t="n"/>
      <c r="H84" s="59" t="n"/>
      <c r="I84" s="59" t="n"/>
      <c r="J84" s="60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1" t="inlineStr">
        <is>
          <t>TOTAL:</t>
        </is>
      </c>
      <c r="C85" s="68">
        <f>SUM(C73:C84)</f>
        <v/>
      </c>
      <c r="D85" s="68">
        <f>SUM(D73:D84)</f>
        <v/>
      </c>
      <c r="E85" s="68">
        <f>SUM(E73:E84)</f>
        <v/>
      </c>
      <c r="F85" s="68">
        <f>SUM(F73:F84)</f>
        <v/>
      </c>
      <c r="G85" s="68">
        <f>SUM(G73:G84)</f>
        <v/>
      </c>
      <c r="H85" s="68">
        <f>SUM(H73:H84)</f>
        <v/>
      </c>
      <c r="I85" s="68">
        <f>SUM(I73:I84)</f>
        <v/>
      </c>
      <c r="J85" s="68">
        <f>SUM(J74:J84)</f>
        <v/>
      </c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7">
    <mergeCell ref="B26:O26"/>
    <mergeCell ref="D20:K20"/>
    <mergeCell ref="B13:C14"/>
    <mergeCell ref="B62:I62"/>
    <mergeCell ref="D4:M4"/>
    <mergeCell ref="D11:O11"/>
    <mergeCell ref="J65:O65"/>
    <mergeCell ref="B47:O47"/>
    <mergeCell ref="B15:C16"/>
    <mergeCell ref="B25:O25"/>
    <mergeCell ref="B22:C22"/>
    <mergeCell ref="B7:O7"/>
    <mergeCell ref="B66:I66"/>
    <mergeCell ref="D2:M3"/>
    <mergeCell ref="B12:C12"/>
    <mergeCell ref="B27:O27"/>
    <mergeCell ref="B21:C21"/>
    <mergeCell ref="J63:O63"/>
    <mergeCell ref="B11:C11"/>
    <mergeCell ref="B2:C4"/>
    <mergeCell ref="J66:O66"/>
    <mergeCell ref="B23:C23"/>
    <mergeCell ref="B60:I60"/>
    <mergeCell ref="B67:I67"/>
    <mergeCell ref="D9:O9"/>
    <mergeCell ref="B61:I61"/>
    <mergeCell ref="B57:O57"/>
    <mergeCell ref="B8:O8"/>
    <mergeCell ref="D24:O24"/>
    <mergeCell ref="B19:C19"/>
    <mergeCell ref="J62:O62"/>
    <mergeCell ref="D23:O23"/>
    <mergeCell ref="B10:C10"/>
    <mergeCell ref="J61:O61"/>
    <mergeCell ref="B37:O37"/>
    <mergeCell ref="B9:C9"/>
    <mergeCell ref="J64:O64"/>
    <mergeCell ref="B65:I65"/>
    <mergeCell ref="B6:C6"/>
    <mergeCell ref="J67:O67"/>
    <mergeCell ref="B24:C24"/>
    <mergeCell ref="D12:N12"/>
    <mergeCell ref="D10:O10"/>
    <mergeCell ref="B64:I64"/>
    <mergeCell ref="D19:O19"/>
    <mergeCell ref="B17:C18"/>
    <mergeCell ref="B20:C20"/>
    <mergeCell ref="N2:O3"/>
    <mergeCell ref="B71:J71"/>
    <mergeCell ref="D22:O22"/>
    <mergeCell ref="B5:O5"/>
    <mergeCell ref="J60:O60"/>
    <mergeCell ref="B63:I63"/>
    <mergeCell ref="B36:O36"/>
    <mergeCell ref="D21:O21"/>
    <mergeCell ref="N4:O4"/>
    <mergeCell ref="D6:O6"/>
  </mergeCells>
  <conditionalFormatting sqref="C34:O34 C44:O44 C54:O54">
    <cfRule type="cellIs" priority="1" operator="greaterThan" dxfId="1">
      <formula>C35</formula>
    </cfRule>
    <cfRule type="cellIs" priority="2" operator="lessThanOrEqual" dxfId="0">
      <formula>C35</formula>
    </cfRule>
  </conditionalFormatting>
  <pageMargins left="0.7" right="0.7" top="0.75" bottom="0.75" header="0" footer="0"/>
  <pageSetup orientation="portrait"/>
  <rowBreaks count="1" manualBreakCount="1">
    <brk id="5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showGridLines="0" workbookViewId="0">
      <selection activeCell="A6" sqref="A6:XFD6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1.33203125" customWidth="1" style="99" min="4" max="4"/>
    <col width="9.33203125" customWidth="1" style="99" min="5" max="5"/>
    <col width="13.109375" customWidth="1" style="99" min="6" max="6"/>
    <col width="9.5546875" customWidth="1" style="99" min="7" max="7"/>
    <col width="11.44140625" customWidth="1" style="99" min="8" max="8"/>
    <col width="9.88671875" customWidth="1" style="99" min="9" max="9"/>
    <col width="11" customWidth="1" style="99" min="10" max="10"/>
    <col width="12.6640625" customWidth="1" style="99" min="11" max="11"/>
    <col width="14.33203125" customWidth="1" style="99" min="12" max="12"/>
    <col width="14.5546875" customWidth="1" style="99" min="13" max="13"/>
    <col width="13.332031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3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2.25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23" t="inlineStr">
        <is>
          <t>OBJETIVO:</t>
        </is>
      </c>
      <c r="C6" s="193" t="n"/>
      <c r="D6" s="194" t="inlineStr">
        <is>
          <t>Establecer la frecuencia ocasionada por los accidentes de trabajo en la empresa Laboratorios LT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23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Frecuencia de los accidentes de trabajo (AT)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 2023:</t>
        </is>
      </c>
      <c r="C13" s="176" t="n"/>
      <c r="D13" s="30" t="inlineStr">
        <is>
          <t>&lt;=</t>
        </is>
      </c>
      <c r="E13" s="69" t="n">
        <v>4</v>
      </c>
      <c r="F13" s="32" t="inlineStr">
        <is>
          <t>CUMPLE</t>
        </is>
      </c>
      <c r="G13" s="28" t="n"/>
      <c r="H13" s="28" t="n"/>
      <c r="I13" s="28" t="n"/>
      <c r="J13" s="28" t="n"/>
      <c r="K13" s="28" t="n"/>
      <c r="L13" s="28" t="n"/>
      <c r="M13" s="28" t="n"/>
      <c r="N13" s="28" t="n"/>
      <c r="O13" s="18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30" t="inlineStr">
        <is>
          <t>&gt;</t>
        </is>
      </c>
      <c r="E14" s="31" t="n">
        <v>4.1</v>
      </c>
      <c r="F14" s="33" t="inlineStr">
        <is>
          <t>NO CUMPLE</t>
        </is>
      </c>
      <c r="G14" s="28" t="n"/>
      <c r="H14" s="28" t="n"/>
      <c r="I14" s="28" t="n"/>
      <c r="J14" s="28" t="n"/>
      <c r="K14" s="28" t="n"/>
      <c r="L14" s="28" t="n"/>
      <c r="M14" s="28" t="n"/>
      <c r="N14" s="28" t="n"/>
      <c r="O14" s="18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26" t="inlineStr">
        <is>
          <t>RANGOS DE MEDICIÓN Y META 2024:</t>
        </is>
      </c>
      <c r="C15" s="176" t="n"/>
      <c r="D15" s="30" t="inlineStr">
        <is>
          <t>&lt;=</t>
        </is>
      </c>
      <c r="E15" s="69" t="n">
        <v>3</v>
      </c>
      <c r="F15" s="32" t="inlineStr">
        <is>
          <t>CUMPLE</t>
        </is>
      </c>
      <c r="G15" s="28" t="n"/>
      <c r="H15" s="28" t="n"/>
      <c r="I15" s="28" t="n"/>
      <c r="J15" s="28" t="n"/>
      <c r="K15" s="28" t="n"/>
      <c r="L15" s="28" t="n"/>
      <c r="M15" s="28" t="n"/>
      <c r="N15" s="28" t="n"/>
      <c r="O15" s="18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99">
      <c r="A16" s="1" t="n"/>
      <c r="B16" s="186" t="n"/>
      <c r="C16" s="187" t="n"/>
      <c r="D16" s="30" t="inlineStr">
        <is>
          <t>&gt;</t>
        </is>
      </c>
      <c r="E16" s="31" t="n">
        <v>3.1</v>
      </c>
      <c r="F16" s="33" t="inlineStr">
        <is>
          <t>NO CUMPLE</t>
        </is>
      </c>
      <c r="G16" s="28" t="n"/>
      <c r="H16" s="28" t="n"/>
      <c r="I16" s="28" t="n"/>
      <c r="J16" s="28" t="n"/>
      <c r="K16" s="28" t="n"/>
      <c r="L16" s="28" t="n"/>
      <c r="M16" s="28" t="n"/>
      <c r="N16" s="28" t="n"/>
      <c r="O16" s="18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99">
      <c r="A17" s="1" t="n"/>
      <c r="B17" s="226" t="inlineStr">
        <is>
          <t>RANGOS DE MEDICIÓN Y META:
2025</t>
        </is>
      </c>
      <c r="C17" s="176" t="n"/>
      <c r="D17" s="30" t="inlineStr">
        <is>
          <t>&lt;=</t>
        </is>
      </c>
      <c r="E17" s="69" t="n">
        <v>2</v>
      </c>
      <c r="F17" s="32" t="inlineStr">
        <is>
          <t>CUMPLE</t>
        </is>
      </c>
      <c r="G17" s="34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25" customHeight="1" s="99">
      <c r="A18" s="1" t="n"/>
      <c r="B18" s="186" t="n"/>
      <c r="C18" s="187" t="n"/>
      <c r="D18" s="30" t="inlineStr">
        <is>
          <t>&gt;</t>
        </is>
      </c>
      <c r="E18" s="31" t="n">
        <v>2.1</v>
      </c>
      <c r="F18" s="33" t="inlineStr">
        <is>
          <t>NO CUMPLE</t>
        </is>
      </c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25" customHeight="1" s="99">
      <c r="A19" s="1" t="n"/>
      <c r="B19" s="215" t="inlineStr">
        <is>
          <t>ORIGEN DE LA INFORMACIÓN:</t>
        </is>
      </c>
      <c r="C19" s="193" t="n"/>
      <c r="D19" s="227" t="inlineStr">
        <is>
          <t>Caracterización de accidentes de trabajo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 s="99">
      <c r="A20" s="1" t="n"/>
      <c r="B20" s="215" t="inlineStr">
        <is>
          <t>FORMULA:</t>
        </is>
      </c>
      <c r="C20" s="193" t="n"/>
      <c r="D20" s="228" t="inlineStr">
        <is>
          <t># de accidentes de trabajo presentados en elmes/#ro de trabajadores en el mes * 100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38" t="inlineStr">
        <is>
          <t>k=</t>
        </is>
      </c>
      <c r="O20" s="39" t="n">
        <v>100</v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99">
      <c r="A21" s="1" t="n"/>
      <c r="B21" s="215" t="inlineStr">
        <is>
          <t>TÉCNICA ESTADÍSTICA:</t>
        </is>
      </c>
      <c r="C21" s="193" t="n"/>
      <c r="D21" s="214" t="inlineStr">
        <is>
          <t>Grafico de barras</t>
        </is>
      </c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99">
      <c r="A22" s="1" t="n"/>
      <c r="B22" s="215" t="inlineStr">
        <is>
          <t>FRECUENCIA:</t>
        </is>
      </c>
      <c r="C22" s="193" t="n"/>
      <c r="D22" s="227" t="inlineStr">
        <is>
          <t>Mensual</t>
        </is>
      </c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99">
      <c r="A23" s="1" t="n"/>
      <c r="B23" s="215" t="inlineStr">
        <is>
          <t>TENDENCIA:</t>
        </is>
      </c>
      <c r="C23" s="193" t="n"/>
      <c r="D23" s="214" t="inlineStr">
        <is>
          <t>Descendente</t>
        </is>
      </c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99">
      <c r="A24" s="1" t="n"/>
      <c r="B24" s="215" t="inlineStr">
        <is>
          <t>UNIDAD DE MEDIDA:</t>
        </is>
      </c>
      <c r="C24" s="193" t="n"/>
      <c r="D24" s="214" t="inlineStr">
        <is>
          <t>Índice</t>
        </is>
      </c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8.25" customHeight="1" s="99">
      <c r="A25" s="1" t="n"/>
      <c r="B25" s="190" t="n"/>
      <c r="O25" s="19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204" t="inlineStr">
        <is>
          <t>DATOS DE MEDICIÓN</t>
        </is>
      </c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230" t="inlineStr">
        <is>
          <t>AÑO 2023</t>
        </is>
      </c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70" t="inlineStr">
        <is>
          <t>PARÁMETROS</t>
        </is>
      </c>
      <c r="C28" s="40" t="inlineStr">
        <is>
          <t>ENERO</t>
        </is>
      </c>
      <c r="D28" s="40" t="inlineStr">
        <is>
          <t>FEBRERO</t>
        </is>
      </c>
      <c r="E28" s="40" t="inlineStr">
        <is>
          <t>MARZO</t>
        </is>
      </c>
      <c r="F28" s="40" t="inlineStr">
        <is>
          <t>ABRIL</t>
        </is>
      </c>
      <c r="G28" s="40" t="inlineStr">
        <is>
          <t>MAYO</t>
        </is>
      </c>
      <c r="H28" s="40" t="inlineStr">
        <is>
          <t>JUNIO</t>
        </is>
      </c>
      <c r="I28" s="40" t="inlineStr">
        <is>
          <t>JULIO</t>
        </is>
      </c>
      <c r="J28" s="40" t="inlineStr">
        <is>
          <t>AGOSTO</t>
        </is>
      </c>
      <c r="K28" s="40" t="inlineStr">
        <is>
          <t>SEPTIEMBRE</t>
        </is>
      </c>
      <c r="L28" s="40" t="inlineStr">
        <is>
          <t>OCTUBRE</t>
        </is>
      </c>
      <c r="M28" s="40" t="inlineStr">
        <is>
          <t>NOVIEMBRE</t>
        </is>
      </c>
      <c r="N28" s="40" t="inlineStr">
        <is>
          <t>DICIEMBRE</t>
        </is>
      </c>
      <c r="O28" s="40" t="inlineStr">
        <is>
          <t>TOTAL 2021</t>
        </is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40.5" customHeight="1" s="99">
      <c r="A29" s="1" t="n"/>
      <c r="B29" s="71" t="inlineStr">
        <is>
          <t>Número de trabajadores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42">
        <f>AVERAGE(C29:N29)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30" customHeight="1" s="99">
      <c r="A30" s="1" t="n"/>
      <c r="B30" s="71" t="inlineStr">
        <is>
          <t>Número eventos (AT)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43">
        <f>SUM(C30:N30)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99">
      <c r="A31" s="1" t="n"/>
      <c r="B31" s="47" t="inlineStr">
        <is>
          <t>Indice de Frecuencia</t>
        </is>
      </c>
      <c r="C31" s="42">
        <f>(C30/C29)*$O$20</f>
        <v/>
      </c>
      <c r="D31" s="42">
        <f>(D30/D29)*$O$20</f>
        <v/>
      </c>
      <c r="E31" s="42">
        <f>(E30/E29)*$O$20</f>
        <v/>
      </c>
      <c r="F31" s="42">
        <f>(F30/F29)*$O$20</f>
        <v/>
      </c>
      <c r="G31" s="42">
        <f>(G30/G29)*$O$20</f>
        <v/>
      </c>
      <c r="H31" s="42">
        <f>(H30/H29)*$O$20</f>
        <v/>
      </c>
      <c r="I31" s="42">
        <f>(I30/I29)*$O$20</f>
        <v/>
      </c>
      <c r="J31" s="42">
        <f>(J30/J29)*$O$20</f>
        <v/>
      </c>
      <c r="K31" s="42">
        <f>(K30/K29)*$O$20</f>
        <v/>
      </c>
      <c r="L31" s="42">
        <f>(L30/L29)*$O$20</f>
        <v/>
      </c>
      <c r="M31" s="42">
        <f>(M30/M29)*$O$20</f>
        <v/>
      </c>
      <c r="N31" s="42">
        <f>(N30/N29)*$O$20</f>
        <v/>
      </c>
      <c r="O31" s="42">
        <f>(O30/O29)*$O$20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47" t="inlineStr">
        <is>
          <t>Meta</t>
        </is>
      </c>
      <c r="C32" s="72">
        <f>$E$17</f>
        <v/>
      </c>
      <c r="D32" s="72">
        <f>$E$17</f>
        <v/>
      </c>
      <c r="E32" s="72">
        <f>$E$17</f>
        <v/>
      </c>
      <c r="F32" s="72">
        <f>$E$17</f>
        <v/>
      </c>
      <c r="G32" s="72">
        <f>$E$17</f>
        <v/>
      </c>
      <c r="H32" s="72">
        <f>$E$17</f>
        <v/>
      </c>
      <c r="I32" s="72">
        <f>$E$17</f>
        <v/>
      </c>
      <c r="J32" s="72">
        <f>$E$17</f>
        <v/>
      </c>
      <c r="K32" s="72">
        <f>$E$17</f>
        <v/>
      </c>
      <c r="L32" s="72">
        <f>$E$17</f>
        <v/>
      </c>
      <c r="M32" s="72">
        <f>$E$17</f>
        <v/>
      </c>
      <c r="N32" s="72">
        <f>$E$17</f>
        <v/>
      </c>
      <c r="O32" s="72">
        <f>$E$17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8.25" customHeight="1" s="99">
      <c r="A33" s="1" t="n"/>
      <c r="B33" s="231" t="n"/>
      <c r="O33" s="19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204" t="inlineStr">
        <is>
          <t>AÑO 2024</t>
        </is>
      </c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70" t="inlineStr">
        <is>
          <t>PARÁMETROS</t>
        </is>
      </c>
      <c r="C35" s="40" t="inlineStr">
        <is>
          <t>ENERO</t>
        </is>
      </c>
      <c r="D35" s="40" t="inlineStr">
        <is>
          <t>FEBRERO</t>
        </is>
      </c>
      <c r="E35" s="40" t="inlineStr">
        <is>
          <t>MARZO</t>
        </is>
      </c>
      <c r="F35" s="40" t="inlineStr">
        <is>
          <t>ABRIL</t>
        </is>
      </c>
      <c r="G35" s="40" t="inlineStr">
        <is>
          <t>MAYO</t>
        </is>
      </c>
      <c r="H35" s="40" t="inlineStr">
        <is>
          <t>JUNIO</t>
        </is>
      </c>
      <c r="I35" s="40" t="inlineStr">
        <is>
          <t>JULIO</t>
        </is>
      </c>
      <c r="J35" s="40" t="inlineStr">
        <is>
          <t>AGOSTO</t>
        </is>
      </c>
      <c r="K35" s="40" t="inlineStr">
        <is>
          <t>SEPTIEMBRE</t>
        </is>
      </c>
      <c r="L35" s="40" t="inlineStr">
        <is>
          <t>OCTUBRE</t>
        </is>
      </c>
      <c r="M35" s="40" t="inlineStr">
        <is>
          <t>NOVIEMBRE</t>
        </is>
      </c>
      <c r="N35" s="40" t="inlineStr">
        <is>
          <t>DICIEMBRE</t>
        </is>
      </c>
      <c r="O35" s="40" t="inlineStr">
        <is>
          <t>TOTAL 2022</t>
        </is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42.75" customHeight="1" s="99">
      <c r="A36" s="1" t="n"/>
      <c r="B36" s="71" t="inlineStr">
        <is>
          <t>Número de trabajadores</t>
        </is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42">
        <f>AVERAGE(C36:N36)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5.5" customHeight="1" s="99">
      <c r="A37" s="1" t="n"/>
      <c r="B37" s="71" t="inlineStr">
        <is>
          <t>Número eventos (AT)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43">
        <f>SUM(C37:N37)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99">
      <c r="A38" s="1" t="n"/>
      <c r="B38" s="47" t="inlineStr">
        <is>
          <t>Indice de Frecuencia</t>
        </is>
      </c>
      <c r="C38" s="42">
        <f>(C37/C36)*$O$20</f>
        <v/>
      </c>
      <c r="D38" s="42">
        <f>(D37/D36)*$O$20</f>
        <v/>
      </c>
      <c r="E38" s="42">
        <f>(E37/E36)*$O$20</f>
        <v/>
      </c>
      <c r="F38" s="42">
        <f>(F37/F36)*$O$20</f>
        <v/>
      </c>
      <c r="G38" s="42">
        <f>(G37/G36)*$O$20</f>
        <v/>
      </c>
      <c r="H38" s="42">
        <f>(H37/H36)*$O$20</f>
        <v/>
      </c>
      <c r="I38" s="42">
        <f>(I37/I36)*$O$20</f>
        <v/>
      </c>
      <c r="J38" s="42">
        <f>(J37/J36)*$O$20</f>
        <v/>
      </c>
      <c r="K38" s="42">
        <f>(K37/K36)*$O$20</f>
        <v/>
      </c>
      <c r="L38" s="42">
        <f>(L37/L36)*$O$20</f>
        <v/>
      </c>
      <c r="M38" s="42">
        <f>(M37/M36)*$O$20</f>
        <v/>
      </c>
      <c r="N38" s="42">
        <f>(N37/N36)*$O$20</f>
        <v/>
      </c>
      <c r="O38" s="42">
        <f>(O37/O36)*$O$20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47" t="inlineStr">
        <is>
          <t>Meta</t>
        </is>
      </c>
      <c r="C39" s="73">
        <f>$E$17</f>
        <v/>
      </c>
      <c r="D39" s="73">
        <f>$E$17</f>
        <v/>
      </c>
      <c r="E39" s="73">
        <f>$E$17</f>
        <v/>
      </c>
      <c r="F39" s="73">
        <f>$E$17</f>
        <v/>
      </c>
      <c r="G39" s="73">
        <f>$E$17</f>
        <v/>
      </c>
      <c r="H39" s="73">
        <f>$E$17</f>
        <v/>
      </c>
      <c r="I39" s="73">
        <f>$E$17</f>
        <v/>
      </c>
      <c r="J39" s="73">
        <f>$E$17</f>
        <v/>
      </c>
      <c r="K39" s="73">
        <f>$E$17</f>
        <v/>
      </c>
      <c r="L39" s="73">
        <f>$E$17</f>
        <v/>
      </c>
      <c r="M39" s="73">
        <f>$E$17</f>
        <v/>
      </c>
      <c r="N39" s="73">
        <f>$E$17</f>
        <v/>
      </c>
      <c r="O39" s="48">
        <f>$E$17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8.25" customHeight="1" s="99">
      <c r="A40" s="1" t="n"/>
      <c r="B40" s="146" t="n"/>
      <c r="C40" s="116" t="n"/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204" t="inlineStr">
        <is>
          <t>AÑO 2025</t>
        </is>
      </c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70" t="inlineStr">
        <is>
          <t>PARÁMETROS</t>
        </is>
      </c>
      <c r="C42" s="50" t="inlineStr">
        <is>
          <t>ENERO</t>
        </is>
      </c>
      <c r="D42" s="50" t="inlineStr">
        <is>
          <t>FEBRERO</t>
        </is>
      </c>
      <c r="E42" s="50" t="inlineStr">
        <is>
          <t>MARZO</t>
        </is>
      </c>
      <c r="F42" s="50" t="inlineStr">
        <is>
          <t>ABRIL</t>
        </is>
      </c>
      <c r="G42" s="50" t="inlineStr">
        <is>
          <t>MAYO</t>
        </is>
      </c>
      <c r="H42" s="50" t="inlineStr">
        <is>
          <t>JUNIO</t>
        </is>
      </c>
      <c r="I42" s="50" t="inlineStr">
        <is>
          <t>JULIO</t>
        </is>
      </c>
      <c r="J42" s="50" t="inlineStr">
        <is>
          <t>AGOSTO</t>
        </is>
      </c>
      <c r="K42" s="50" t="inlineStr">
        <is>
          <t>SEPTIEMBRE</t>
        </is>
      </c>
      <c r="L42" s="50" t="inlineStr">
        <is>
          <t>OCTUBRE</t>
        </is>
      </c>
      <c r="M42" s="50" t="inlineStr">
        <is>
          <t>NOVIEMBRE</t>
        </is>
      </c>
      <c r="N42" s="50" t="inlineStr">
        <is>
          <t>DICIEMBRE</t>
        </is>
      </c>
      <c r="O42" s="50" t="inlineStr">
        <is>
          <t>TOTAL 2023</t>
        </is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99">
      <c r="A43" s="1" t="n"/>
      <c r="B43" s="71" t="inlineStr">
        <is>
          <t>Número de trabajadores</t>
        </is>
      </c>
      <c r="C43" s="15" t="n"/>
      <c r="D43" s="51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42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71" t="inlineStr">
        <is>
          <t>Número eventos (AT)</t>
        </is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42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7" t="inlineStr">
        <is>
          <t>Indice de Frecuencia</t>
        </is>
      </c>
      <c r="C45" s="42">
        <f>(C44/C43)*$O$20</f>
        <v/>
      </c>
      <c r="D45" s="42">
        <f>(D44/D43)*$O$20</f>
        <v/>
      </c>
      <c r="E45" s="42">
        <f>(E44/E43)*$O$20</f>
        <v/>
      </c>
      <c r="F45" s="42">
        <f>(F44/F43)*$O$20</f>
        <v/>
      </c>
      <c r="G45" s="42">
        <f>(G44/G43)*$O$20</f>
        <v/>
      </c>
      <c r="H45" s="42">
        <f>(H44/H43)*$O$20</f>
        <v/>
      </c>
      <c r="I45" s="42">
        <f>(I44/I43)*$O$20</f>
        <v/>
      </c>
      <c r="J45" s="42">
        <f>(J44/J43)*$O$20</f>
        <v/>
      </c>
      <c r="K45" s="42">
        <f>(K44/K43)*$O$20</f>
        <v/>
      </c>
      <c r="L45" s="42">
        <f>(L44/L43)*$O$20</f>
        <v/>
      </c>
      <c r="M45" s="42">
        <f>(M44/M43)*$O$20</f>
        <v/>
      </c>
      <c r="N45" s="42">
        <f>(N44/N43)*$O$20</f>
        <v/>
      </c>
      <c r="O45" s="42">
        <f>(O44/O43)*$O$20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99">
      <c r="A46" s="1" t="n"/>
      <c r="B46" s="47" t="inlineStr">
        <is>
          <t>Meta</t>
        </is>
      </c>
      <c r="C46" s="73">
        <f>$E$17</f>
        <v/>
      </c>
      <c r="D46" s="73">
        <f>$E$17</f>
        <v/>
      </c>
      <c r="E46" s="73">
        <f>$E$17</f>
        <v/>
      </c>
      <c r="F46" s="73">
        <f>$E$17</f>
        <v/>
      </c>
      <c r="G46" s="73">
        <f>$E$17</f>
        <v/>
      </c>
      <c r="H46" s="73">
        <f>$E$17</f>
        <v/>
      </c>
      <c r="I46" s="73">
        <f>$E$17</f>
        <v/>
      </c>
      <c r="J46" s="73">
        <f>$E$17</f>
        <v/>
      </c>
      <c r="K46" s="73">
        <f>$E$17</f>
        <v/>
      </c>
      <c r="L46" s="73">
        <f>$E$17</f>
        <v/>
      </c>
      <c r="M46" s="73">
        <f>$E$17</f>
        <v/>
      </c>
      <c r="N46" s="73">
        <f>$E$17</f>
        <v/>
      </c>
      <c r="O46" s="48">
        <f>$E$17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8.25" customHeight="1" s="99">
      <c r="A47" s="1" t="n"/>
      <c r="B47" s="146" t="n"/>
      <c r="C47" s="116" t="n"/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 t="n"/>
      <c r="M47" s="116" t="n"/>
      <c r="N47" s="116" t="n"/>
      <c r="O47" s="116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99">
      <c r="A48" s="1" t="n"/>
      <c r="B48" s="202" t="inlineStr">
        <is>
          <t>GRAFICA DEL INDICADOR</t>
        </is>
      </c>
      <c r="C48" s="203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  <c r="M48" s="203" t="n"/>
      <c r="N48" s="203" t="n"/>
      <c r="O48" s="176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93" customHeight="1" s="99">
      <c r="A49" s="1" t="n"/>
      <c r="B49" s="74" t="n"/>
      <c r="C49" s="53" t="n"/>
      <c r="D49" s="53" t="n"/>
      <c r="E49" s="53" t="n"/>
      <c r="F49" s="53" t="n"/>
      <c r="G49" s="53" t="n"/>
      <c r="H49" s="53" t="n"/>
      <c r="I49" s="54" t="n"/>
      <c r="J49" s="53" t="n"/>
      <c r="K49" s="53" t="n"/>
      <c r="L49" s="53" t="n"/>
      <c r="M49" s="53" t="n"/>
      <c r="N49" s="53" t="n"/>
      <c r="O49" s="54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9" customHeight="1" s="99">
      <c r="A50" s="1" t="n"/>
      <c r="B50" s="3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99">
      <c r="A51" s="1" t="n"/>
      <c r="B51" s="205" t="inlineStr">
        <is>
          <t>ANÁLISIS</t>
        </is>
      </c>
      <c r="C51" s="195" t="n"/>
      <c r="D51" s="195" t="n"/>
      <c r="E51" s="195" t="n"/>
      <c r="F51" s="195" t="n"/>
      <c r="G51" s="195" t="n"/>
      <c r="H51" s="195" t="n"/>
      <c r="I51" s="193" t="n"/>
      <c r="J51" s="205" t="inlineStr">
        <is>
          <t>ACCIONES DE MEJORA</t>
        </is>
      </c>
      <c r="K51" s="195" t="n"/>
      <c r="L51" s="195" t="n"/>
      <c r="M51" s="195" t="n"/>
      <c r="N51" s="195" t="n"/>
      <c r="O51" s="193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5.25" customHeight="1" s="99">
      <c r="A52" s="1" t="n"/>
      <c r="B52" s="206" t="n"/>
      <c r="C52" s="195" t="n"/>
      <c r="D52" s="195" t="n"/>
      <c r="E52" s="195" t="n"/>
      <c r="F52" s="195" t="n"/>
      <c r="G52" s="195" t="n"/>
      <c r="H52" s="195" t="n"/>
      <c r="I52" s="193" t="n"/>
      <c r="J52" s="206" t="n"/>
      <c r="K52" s="195" t="n"/>
      <c r="L52" s="195" t="n"/>
      <c r="M52" s="195" t="n"/>
      <c r="N52" s="195" t="n"/>
      <c r="O52" s="19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5.25" customHeight="1" s="99">
      <c r="A53" s="1" t="n"/>
      <c r="B53" s="206" t="n"/>
      <c r="C53" s="195" t="n"/>
      <c r="D53" s="195" t="n"/>
      <c r="E53" s="195" t="n"/>
      <c r="F53" s="195" t="n"/>
      <c r="G53" s="195" t="n"/>
      <c r="H53" s="195" t="n"/>
      <c r="I53" s="193" t="n"/>
      <c r="J53" s="206" t="n"/>
      <c r="K53" s="195" t="n"/>
      <c r="L53" s="195" t="n"/>
      <c r="M53" s="195" t="n"/>
      <c r="N53" s="195" t="n"/>
      <c r="O53" s="193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5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5.25" customHeight="1" s="99">
      <c r="A55" s="1" t="n"/>
      <c r="B55" s="206" t="n"/>
      <c r="C55" s="195" t="n"/>
      <c r="D55" s="195" t="n"/>
      <c r="E55" s="195" t="n"/>
      <c r="F55" s="195" t="n"/>
      <c r="G55" s="195" t="n"/>
      <c r="H55" s="195" t="n"/>
      <c r="I55" s="193" t="n"/>
      <c r="J55" s="206" t="n"/>
      <c r="K55" s="195" t="n"/>
      <c r="L55" s="195" t="n"/>
      <c r="M55" s="195" t="n"/>
      <c r="N55" s="195" t="n"/>
      <c r="O55" s="193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5.25" customHeight="1" s="99">
      <c r="A56" s="1" t="n"/>
      <c r="B56" s="206" t="n"/>
      <c r="C56" s="195" t="n"/>
      <c r="D56" s="195" t="n"/>
      <c r="E56" s="195" t="n"/>
      <c r="F56" s="195" t="n"/>
      <c r="G56" s="195" t="n"/>
      <c r="H56" s="195" t="n"/>
      <c r="I56" s="193" t="n"/>
      <c r="J56" s="206" t="n"/>
      <c r="K56" s="195" t="n"/>
      <c r="L56" s="195" t="n"/>
      <c r="M56" s="195" t="n"/>
      <c r="N56" s="195" t="n"/>
      <c r="O56" s="193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5.25" customHeight="1" s="99">
      <c r="A57" s="1" t="n"/>
      <c r="B57" s="206" t="n"/>
      <c r="C57" s="195" t="n"/>
      <c r="D57" s="195" t="n"/>
      <c r="E57" s="195" t="n"/>
      <c r="F57" s="195" t="n"/>
      <c r="G57" s="195" t="n"/>
      <c r="H57" s="195" t="n"/>
      <c r="I57" s="193" t="n"/>
      <c r="J57" s="206" t="n"/>
      <c r="K57" s="195" t="n"/>
      <c r="L57" s="195" t="n"/>
      <c r="M57" s="195" t="n"/>
      <c r="N57" s="195" t="n"/>
      <c r="O57" s="19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5.25" customHeight="1" s="99">
      <c r="A58" s="1" t="n"/>
      <c r="B58" s="206" t="n"/>
      <c r="C58" s="195" t="n"/>
      <c r="D58" s="195" t="n"/>
      <c r="E58" s="195" t="n"/>
      <c r="F58" s="195" t="n"/>
      <c r="G58" s="195" t="n"/>
      <c r="H58" s="195" t="n"/>
      <c r="I58" s="193" t="n"/>
      <c r="J58" s="206" t="n"/>
      <c r="K58" s="195" t="n"/>
      <c r="L58" s="195" t="n"/>
      <c r="M58" s="195" t="n"/>
      <c r="N58" s="195" t="n"/>
      <c r="O58" s="193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99">
      <c r="A59" s="1" t="n"/>
      <c r="B59" s="3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99">
      <c r="A60" s="1" t="n"/>
      <c r="B60" s="3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3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3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3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3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3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3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3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3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3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3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3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3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3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3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3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3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3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3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3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3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3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3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3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3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3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3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3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3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3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3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3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3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3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3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3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3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3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3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3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3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3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3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3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3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3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3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3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3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3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3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3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3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3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3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3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3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3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3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3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3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3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3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3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3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3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3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3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3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3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3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3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3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3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3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3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3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3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3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3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3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3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3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3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3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3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3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3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3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3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3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3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3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3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3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3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3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3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3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3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3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3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3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3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3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3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3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3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3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3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3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3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3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3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3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3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3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3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3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3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3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3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3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3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3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3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3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3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3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3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3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3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3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3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3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3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3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3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3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3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3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3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3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3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3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3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3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3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3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3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3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3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3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3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3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3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3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3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3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3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3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3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3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3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3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3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3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3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3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3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3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3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3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3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3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3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3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3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3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3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3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3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3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3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3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3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3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3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3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3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3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3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3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3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3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3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3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3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3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3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3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3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3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3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3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3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3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3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3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3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3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3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3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3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3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3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3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3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3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3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3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3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3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3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3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3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3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3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3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3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3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3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3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3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3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3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3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3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3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3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3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3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3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3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3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3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3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3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3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3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3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3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3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3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3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3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3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3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3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3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3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3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3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3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3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3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3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3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3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3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3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3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3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3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3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3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3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3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3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3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3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3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3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3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3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3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3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3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3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3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3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3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3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3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3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3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3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3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3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3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3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3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3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3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3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3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3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3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3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3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3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3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3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3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3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3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3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3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3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3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3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3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3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3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3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3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3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3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3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3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3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3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3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3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3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3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3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3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3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3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3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3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3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3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3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3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3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3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3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3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3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3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3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3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3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3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3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3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3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3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3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3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3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3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3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3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3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3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3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3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3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3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3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3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3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3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3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3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3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3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3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3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3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3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3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3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3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3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3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3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3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3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3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3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3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3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3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3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3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3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3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3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3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3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3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3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3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3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3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3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3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3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3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3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3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3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3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3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3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3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3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3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3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3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3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3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3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3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3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3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3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3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3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3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3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3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3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3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3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3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3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3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3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3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3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3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3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3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3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3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3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3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3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3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3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3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3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3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3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3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3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3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3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3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3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3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3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3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3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3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3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3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3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3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3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3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3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3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3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3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3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3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3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3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3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3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3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3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3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3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3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3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3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3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3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3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3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3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3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3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3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3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3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3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3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3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3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3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3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3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3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3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3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3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3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3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3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3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3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3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3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3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3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3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3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3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3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3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3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3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3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3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3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3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3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3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3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3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3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3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3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3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3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3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3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3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3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3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3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3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3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3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3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3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3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3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3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3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3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3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3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3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3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3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3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3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3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3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3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3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3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3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3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3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3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3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3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3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3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3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3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3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3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3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3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3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3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3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3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3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3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3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3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3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3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3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3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3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3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3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3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3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3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3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3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3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3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3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3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3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3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3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3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3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3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3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3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3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3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3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3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3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3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3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3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3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3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3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3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3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3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3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3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3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3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3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3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3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3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3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3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3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3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3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3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3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3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3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3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3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3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3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3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3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3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3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3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3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3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3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3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3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3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3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3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3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3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3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3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3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3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3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3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3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3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3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3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3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3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3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3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3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3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3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3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3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3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3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3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3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3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3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3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3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3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3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3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3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3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3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3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3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3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3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3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3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3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3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3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3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3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3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3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3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3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3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3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3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3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3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3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3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3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3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3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3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3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3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3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3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3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3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3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3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3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3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3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3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3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3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3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3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3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3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3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3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3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3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3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3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3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3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3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3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3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3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3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3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3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3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3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3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3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3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3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3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3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3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3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3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3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3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3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3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3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3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3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3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3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3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3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3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3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3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3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3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3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3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3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3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3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3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3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3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3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3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3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3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3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3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3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3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3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3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3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3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3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3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3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3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3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3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3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3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3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3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3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3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3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3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3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3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3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3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3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3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3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3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3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3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3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3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3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3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3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3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3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3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3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3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3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3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3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3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3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3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3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3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3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3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3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3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3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3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3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3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3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3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3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3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3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3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3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3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3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3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3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3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3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3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3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3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3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3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3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3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3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3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3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3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3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3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3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3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3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3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3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3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3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3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3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3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3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3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3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3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3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3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3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3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3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3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3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3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3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3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3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3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3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3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3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3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3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3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3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3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3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3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3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3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3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3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3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3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3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3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3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3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3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3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3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3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6">
    <mergeCell ref="B26:O26"/>
    <mergeCell ref="B41:O41"/>
    <mergeCell ref="B13:C14"/>
    <mergeCell ref="J53:O53"/>
    <mergeCell ref="D4:M4"/>
    <mergeCell ref="D11:O11"/>
    <mergeCell ref="B54:I54"/>
    <mergeCell ref="B15:C16"/>
    <mergeCell ref="B25:O25"/>
    <mergeCell ref="B22:C22"/>
    <mergeCell ref="B7:O7"/>
    <mergeCell ref="J55:O55"/>
    <mergeCell ref="D2:M3"/>
    <mergeCell ref="B12:C12"/>
    <mergeCell ref="B58:I58"/>
    <mergeCell ref="B27:O27"/>
    <mergeCell ref="B56:I56"/>
    <mergeCell ref="B21:C21"/>
    <mergeCell ref="J54:O54"/>
    <mergeCell ref="B52:I52"/>
    <mergeCell ref="B11:C11"/>
    <mergeCell ref="B2:C4"/>
    <mergeCell ref="B48:O48"/>
    <mergeCell ref="B23:C23"/>
    <mergeCell ref="D20:M20"/>
    <mergeCell ref="J56:O56"/>
    <mergeCell ref="D9:O9"/>
    <mergeCell ref="B57:I57"/>
    <mergeCell ref="B8:O8"/>
    <mergeCell ref="D24:O24"/>
    <mergeCell ref="B53:I53"/>
    <mergeCell ref="J51:O51"/>
    <mergeCell ref="B19:C19"/>
    <mergeCell ref="D23:O23"/>
    <mergeCell ref="J58:O58"/>
    <mergeCell ref="B10:C10"/>
    <mergeCell ref="J52:O52"/>
    <mergeCell ref="B34:O34"/>
    <mergeCell ref="B9:C9"/>
    <mergeCell ref="B6:C6"/>
    <mergeCell ref="B24:C24"/>
    <mergeCell ref="D12:N12"/>
    <mergeCell ref="D10:O10"/>
    <mergeCell ref="J57:O57"/>
    <mergeCell ref="D19:O19"/>
    <mergeCell ref="B17:C18"/>
    <mergeCell ref="B55:I55"/>
    <mergeCell ref="B20:C20"/>
    <mergeCell ref="B51:I51"/>
    <mergeCell ref="B33:O33"/>
    <mergeCell ref="N2:O3"/>
    <mergeCell ref="D22:O22"/>
    <mergeCell ref="B5:O5"/>
    <mergeCell ref="D21:O21"/>
    <mergeCell ref="N4:O4"/>
    <mergeCell ref="D6:O6"/>
  </mergeCells>
  <conditionalFormatting sqref="C31:O31">
    <cfRule type="cellIs" priority="1" operator="greaterThan" dxfId="1">
      <formula>C32</formula>
    </cfRule>
    <cfRule type="cellIs" priority="2" operator="lessThanOrEqual" dxfId="0">
      <formula>C32</formula>
    </cfRule>
  </conditionalFormatting>
  <conditionalFormatting sqref="C38:O38">
    <cfRule type="cellIs" priority="3" operator="greaterThan" dxfId="1">
      <formula>C39</formula>
    </cfRule>
    <cfRule type="cellIs" priority="4" operator="lessThanOrEqual" dxfId="0">
      <formula>C39</formula>
    </cfRule>
  </conditionalFormatting>
  <conditionalFormatting sqref="C45:O45">
    <cfRule type="cellIs" priority="5" operator="greaterThan" dxfId="1">
      <formula>C46</formula>
    </cfRule>
    <cfRule type="cellIs" priority="6" operator="lessThanOrEqual" dxfId="0">
      <formula>C46</formula>
    </cfRule>
  </conditionalFormatting>
  <pageMargins left="0.7" right="0.7" top="0.75" bottom="0.75" header="0" footer="0"/>
  <pageSetup orientation="portrait"/>
  <rowBreaks count="1" manualBreakCount="1">
    <brk id="5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Z999"/>
  <sheetViews>
    <sheetView showGridLines="0" workbookViewId="0">
      <selection activeCell="A6" sqref="A6:XFD6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2.33203125" customWidth="1" style="99" min="4" max="4"/>
    <col width="9.33203125" customWidth="1" style="99" min="5" max="5"/>
    <col width="13.109375" customWidth="1" style="99" min="6" max="6"/>
    <col width="8" customWidth="1" style="99" min="7" max="7"/>
    <col width="7.88671875" customWidth="1" style="99" min="8" max="8"/>
    <col width="7.6640625" customWidth="1" style="99" min="9" max="9"/>
    <col width="11" customWidth="1" style="99" min="10" max="10"/>
    <col width="15" customWidth="1" style="99" min="11" max="11"/>
    <col width="14.33203125" customWidth="1" style="99" min="12" max="12"/>
    <col width="14.5546875" customWidth="1" style="99" min="13" max="13"/>
    <col width="13.332031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5.25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11" t="inlineStr">
        <is>
          <t>OBJETIVO:</t>
        </is>
      </c>
      <c r="C6" s="193" t="n"/>
      <c r="D6" s="194" t="inlineStr">
        <is>
          <t>Establecer porcentaje de mortalidad ocasionada por los accidentes de trabajo en la empresa Laboratorio LT S.A.S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11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Mortalidad de los accidentes de trabajo (AT)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META:</t>
        </is>
      </c>
      <c r="C13" s="176" t="n"/>
      <c r="D13" s="75" t="n">
        <v>0</v>
      </c>
      <c r="E13" s="76" t="inlineStr">
        <is>
          <t>Accidentes ocurridos</t>
        </is>
      </c>
      <c r="F13" s="77" t="n"/>
      <c r="G13" s="78" t="n">
        <v>1</v>
      </c>
      <c r="H13" s="79" t="inlineStr">
        <is>
          <t>CUMPLE</t>
        </is>
      </c>
      <c r="I13" s="80" t="n"/>
      <c r="J13" s="76" t="n"/>
      <c r="K13" s="76" t="n"/>
      <c r="L13" s="34" t="n"/>
      <c r="M13" s="34" t="n"/>
      <c r="N13" s="34" t="n"/>
      <c r="O13" s="35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75" t="inlineStr">
        <is>
          <t xml:space="preserve">&gt;1 </t>
        </is>
      </c>
      <c r="E14" s="76" t="inlineStr">
        <is>
          <t>Accidentes ocurridos</t>
        </is>
      </c>
      <c r="F14" s="77" t="n"/>
      <c r="G14" s="81" t="n">
        <v>0</v>
      </c>
      <c r="H14" s="82" t="inlineStr">
        <is>
          <t>NO CUMPLE</t>
        </is>
      </c>
      <c r="I14" s="83" t="n"/>
      <c r="J14" s="84" t="n"/>
      <c r="K14" s="76" t="n"/>
      <c r="L14" s="36" t="n"/>
      <c r="M14" s="36" t="n"/>
      <c r="N14" s="36" t="n"/>
      <c r="O14" s="37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15" t="inlineStr">
        <is>
          <t>ORIGEN DE LA INFORMACIÓN:</t>
        </is>
      </c>
      <c r="C15" s="193" t="n"/>
      <c r="D15" s="227" t="inlineStr">
        <is>
          <t>Caracterización de accidentes de trabajo</t>
        </is>
      </c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3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 s="99">
      <c r="A16" s="1" t="n"/>
      <c r="B16" s="215" t="inlineStr">
        <is>
          <t>FORMULA:</t>
        </is>
      </c>
      <c r="C16" s="193" t="n"/>
      <c r="D16" s="234" t="inlineStr">
        <is>
          <t># de accidentes de trabajo mortales presentados en el periodo/total accidentes de trabajo en el periodo * 100</t>
        </is>
      </c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99">
      <c r="A17" s="1" t="n"/>
      <c r="B17" s="215" t="inlineStr">
        <is>
          <t>TÉCNICA ESTADÍSTICA:</t>
        </is>
      </c>
      <c r="C17" s="193" t="n"/>
      <c r="D17" s="214" t="inlineStr">
        <is>
          <t>Grafico de barras</t>
        </is>
      </c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99">
      <c r="A18" s="1" t="n"/>
      <c r="B18" s="215" t="inlineStr">
        <is>
          <t>FRECUENCIA:</t>
        </is>
      </c>
      <c r="C18" s="193" t="n"/>
      <c r="D18" s="227" t="inlineStr">
        <is>
          <t>Mensual</t>
        </is>
      </c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99">
      <c r="A19" s="1" t="n"/>
      <c r="B19" s="215" t="inlineStr">
        <is>
          <t>TENDENCIA:</t>
        </is>
      </c>
      <c r="C19" s="193" t="n"/>
      <c r="D19" s="214" t="inlineStr">
        <is>
          <t>Descendente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99">
      <c r="A20" s="1" t="n"/>
      <c r="B20" s="215" t="inlineStr">
        <is>
          <t>UNIDAD DE MEDIDA:</t>
        </is>
      </c>
      <c r="C20" s="193" t="n"/>
      <c r="D20" s="214" t="inlineStr">
        <is>
          <t>%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8.25" customHeight="1" s="99">
      <c r="A21" s="1" t="n"/>
      <c r="B21" s="190" t="n"/>
      <c r="O21" s="19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99">
      <c r="A22" s="1" t="n"/>
      <c r="B22" s="229" t="inlineStr">
        <is>
          <t>DATOS DE MEDICIÓN</t>
        </is>
      </c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99">
      <c r="A23" s="1" t="n"/>
      <c r="B23" s="229" t="inlineStr">
        <is>
          <t>AÑO 2023</t>
        </is>
      </c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99">
      <c r="A24" s="1" t="n"/>
      <c r="B24" s="40" t="inlineStr">
        <is>
          <t>PARÁMETROS</t>
        </is>
      </c>
      <c r="C24" s="40" t="inlineStr">
        <is>
          <t>ENERO</t>
        </is>
      </c>
      <c r="D24" s="40" t="inlineStr">
        <is>
          <t>FEBRERO</t>
        </is>
      </c>
      <c r="E24" s="40" t="inlineStr">
        <is>
          <t>MARZO</t>
        </is>
      </c>
      <c r="F24" s="40" t="inlineStr">
        <is>
          <t>ABRIL</t>
        </is>
      </c>
      <c r="G24" s="40" t="inlineStr">
        <is>
          <t>MAYO</t>
        </is>
      </c>
      <c r="H24" s="40" t="inlineStr">
        <is>
          <t>JUNIO</t>
        </is>
      </c>
      <c r="I24" s="40" t="inlineStr">
        <is>
          <t>JULIO</t>
        </is>
      </c>
      <c r="J24" s="40" t="inlineStr">
        <is>
          <t>AGOSTO</t>
        </is>
      </c>
      <c r="K24" s="40" t="inlineStr">
        <is>
          <t>SEPTIEMBRE</t>
        </is>
      </c>
      <c r="L24" s="40" t="inlineStr">
        <is>
          <t>OCTUBRE</t>
        </is>
      </c>
      <c r="M24" s="40" t="inlineStr">
        <is>
          <t>NOVIEMBRE</t>
        </is>
      </c>
      <c r="N24" s="40" t="inlineStr">
        <is>
          <t>DICIEMBRE</t>
        </is>
      </c>
      <c r="O24" s="40" t="inlineStr">
        <is>
          <t>TOTAL 2023</t>
        </is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7.75" customHeight="1" s="99">
      <c r="A25" s="3" t="n"/>
      <c r="B25" s="71" t="inlineStr">
        <is>
          <t>Número de AT Mortales</t>
        </is>
      </c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43">
        <f>SUM(C25:N25)</f>
        <v/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4.25" customHeight="1" s="99">
      <c r="A26" s="3" t="n"/>
      <c r="B26" s="71" t="inlineStr">
        <is>
          <t>Número de AT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43">
        <f>SUM(C26:N26)</f>
        <v/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4.25" customHeight="1" s="99">
      <c r="A27" s="3" t="n"/>
      <c r="B27" s="47" t="inlineStr">
        <is>
          <t>Indice Mortalidad</t>
        </is>
      </c>
      <c r="C27" s="42">
        <f>IFERROR(C25/C26,0)</f>
        <v/>
      </c>
      <c r="D27" s="42">
        <f>IFERROR(D25/D26,0)</f>
        <v/>
      </c>
      <c r="E27" s="42">
        <f>IFERROR(E25/E26,0)</f>
        <v/>
      </c>
      <c r="F27" s="42">
        <f>IFERROR(F25/F26,0)</f>
        <v/>
      </c>
      <c r="G27" s="42">
        <f>IFERROR(G25/G26,0)</f>
        <v/>
      </c>
      <c r="H27" s="42">
        <f>IFERROR(H25/H26,0)</f>
        <v/>
      </c>
      <c r="I27" s="42">
        <f>IFERROR(I25/I26,0)</f>
        <v/>
      </c>
      <c r="J27" s="42">
        <f>IFERROR(J25/J26,0)</f>
        <v/>
      </c>
      <c r="K27" s="42">
        <f>IFERROR(K25/K26,0)</f>
        <v/>
      </c>
      <c r="L27" s="42">
        <f>IFERROR(L26/#REF!,0)</f>
        <v/>
      </c>
      <c r="M27" s="42">
        <f>IFERROR(M25/M26,0)</f>
        <v/>
      </c>
      <c r="N27" s="42">
        <f>IFERROR(N25/N26,0)</f>
        <v/>
      </c>
      <c r="O27" s="42">
        <f>O25/O26</f>
        <v/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4.25" customHeight="1" s="99">
      <c r="A28" s="3" t="n"/>
      <c r="B28" s="47" t="inlineStr">
        <is>
          <t>Meta</t>
        </is>
      </c>
      <c r="C28" s="86">
        <f>IFERROR(C25/C26,0)</f>
        <v/>
      </c>
      <c r="D28" s="86" t="n">
        <v>0</v>
      </c>
      <c r="E28" s="86" t="n">
        <v>0</v>
      </c>
      <c r="F28" s="86" t="n">
        <v>0</v>
      </c>
      <c r="G28" s="86" t="n">
        <v>0</v>
      </c>
      <c r="H28" s="86" t="n">
        <v>0</v>
      </c>
      <c r="I28" s="86" t="n">
        <v>0</v>
      </c>
      <c r="J28" s="86">
        <f>$D$13</f>
        <v/>
      </c>
      <c r="K28" s="86">
        <f>$D$13</f>
        <v/>
      </c>
      <c r="L28" s="86">
        <f>$D$13</f>
        <v/>
      </c>
      <c r="M28" s="86">
        <f>$D$13</f>
        <v/>
      </c>
      <c r="N28" s="86">
        <f>$D$13</f>
        <v/>
      </c>
      <c r="O28" s="86">
        <f>$D$13</f>
        <v/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4.25" customHeight="1" s="99">
      <c r="A29" s="3" t="n"/>
      <c r="B29" s="47" t="inlineStr">
        <is>
          <t>Calificación</t>
        </is>
      </c>
      <c r="C29" s="87">
        <f>IF(C27&gt;0,0%,100%)</f>
        <v/>
      </c>
      <c r="D29" s="87">
        <f>IF(D27&gt;0,0%,100%)</f>
        <v/>
      </c>
      <c r="E29" s="87">
        <f>IF(E27&gt;0,0%,100%)</f>
        <v/>
      </c>
      <c r="F29" s="87">
        <f>IF(F27&gt;0,0%,100%)</f>
        <v/>
      </c>
      <c r="G29" s="87">
        <f>IF(G27&gt;0,0%,100%)</f>
        <v/>
      </c>
      <c r="H29" s="87">
        <f>IF(H27&gt;0,0%,100%)</f>
        <v/>
      </c>
      <c r="I29" s="87">
        <f>IF(I27&gt;0,0%,100%)</f>
        <v/>
      </c>
      <c r="J29" s="87">
        <f>IF(J27&gt;0,0%,100%)</f>
        <v/>
      </c>
      <c r="K29" s="87">
        <f>IF(K27&gt;0,0%,100%)</f>
        <v/>
      </c>
      <c r="L29" s="87">
        <f>IF(L27&gt;0,0%,100%)</f>
        <v/>
      </c>
      <c r="M29" s="87">
        <f>IF(M27&gt;0,0%,100%)</f>
        <v/>
      </c>
      <c r="N29" s="87">
        <f>IF(N27&gt;0,0%,100%)</f>
        <v/>
      </c>
      <c r="O29" s="87" t="inlineStr">
        <is>
          <t xml:space="preserve">                      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8.25" customHeight="1" s="99">
      <c r="A30" s="1" t="n"/>
      <c r="B30" s="231" t="n"/>
      <c r="O30" s="19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99">
      <c r="A31" s="1" t="n"/>
      <c r="B31" s="235" t="inlineStr">
        <is>
          <t>AÑO 2024</t>
        </is>
      </c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40" t="inlineStr">
        <is>
          <t>PARÁMETROS</t>
        </is>
      </c>
      <c r="C32" s="40" t="inlineStr">
        <is>
          <t>ENERO</t>
        </is>
      </c>
      <c r="D32" s="40" t="inlineStr">
        <is>
          <t>FEBRERO</t>
        </is>
      </c>
      <c r="E32" s="40" t="inlineStr">
        <is>
          <t>MARZO</t>
        </is>
      </c>
      <c r="F32" s="40" t="inlineStr">
        <is>
          <t>ABRIL</t>
        </is>
      </c>
      <c r="G32" s="40" t="inlineStr">
        <is>
          <t>MAYO</t>
        </is>
      </c>
      <c r="H32" s="40" t="inlineStr">
        <is>
          <t>JUNIO</t>
        </is>
      </c>
      <c r="I32" s="40" t="inlineStr">
        <is>
          <t>JULIO</t>
        </is>
      </c>
      <c r="J32" s="40" t="inlineStr">
        <is>
          <t>AGOSTO</t>
        </is>
      </c>
      <c r="K32" s="40" t="inlineStr">
        <is>
          <t>SEPTIEMBRE</t>
        </is>
      </c>
      <c r="L32" s="40" t="inlineStr">
        <is>
          <t>OCTUBRE</t>
        </is>
      </c>
      <c r="M32" s="40" t="inlineStr">
        <is>
          <t>NOVIEMBRE</t>
        </is>
      </c>
      <c r="N32" s="40" t="inlineStr">
        <is>
          <t>DICIEMBRE</t>
        </is>
      </c>
      <c r="O32" s="40" t="inlineStr">
        <is>
          <t>TOTAL 2024</t>
        </is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41" t="inlineStr">
        <is>
          <t>Número de AT Mortales</t>
        </is>
      </c>
      <c r="C33" s="43" t="n">
        <v>0</v>
      </c>
      <c r="D33" s="43" t="n">
        <v>0</v>
      </c>
      <c r="E33" s="43" t="n">
        <v>0</v>
      </c>
      <c r="F33" s="43" t="n">
        <v>0</v>
      </c>
      <c r="G33" s="43" t="n">
        <v>0</v>
      </c>
      <c r="H33" s="43" t="n">
        <v>0</v>
      </c>
      <c r="I33" s="43" t="n">
        <v>0</v>
      </c>
      <c r="J33" s="43" t="n">
        <v>0</v>
      </c>
      <c r="K33" s="43" t="n">
        <v>0</v>
      </c>
      <c r="L33" s="116" t="n">
        <v>0</v>
      </c>
      <c r="M33" s="43" t="n">
        <v>0</v>
      </c>
      <c r="N33" s="43" t="n">
        <v>0</v>
      </c>
      <c r="O33" s="43">
        <f>SUM(C33:N33)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41" t="inlineStr">
        <is>
          <t>Número de AT</t>
        </is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43" t="n">
        <v>0</v>
      </c>
      <c r="M34" s="15" t="n">
        <v>0</v>
      </c>
      <c r="N34" s="15" t="n">
        <v>0</v>
      </c>
      <c r="O34" s="43">
        <f>SUM(C34:N34)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45" t="inlineStr">
        <is>
          <t>Indice de Mortalidad</t>
        </is>
      </c>
      <c r="C35" s="42">
        <f>IFERROR(C33/C34,0)</f>
        <v/>
      </c>
      <c r="D35" s="42">
        <f>IFERROR(D33/D34,0)</f>
        <v/>
      </c>
      <c r="E35" s="42">
        <f>IFERROR(E33/E34,0)</f>
        <v/>
      </c>
      <c r="F35" s="42">
        <f>IFERROR(F33/F34,0)</f>
        <v/>
      </c>
      <c r="G35" s="42">
        <f>IFERROR(G33/G34,0)</f>
        <v/>
      </c>
      <c r="H35" s="42">
        <f>IFERROR(H33/H34,0)</f>
        <v/>
      </c>
      <c r="I35" s="42">
        <f>IFERROR(I33/I34,0)</f>
        <v/>
      </c>
      <c r="J35" s="42">
        <f>IFERROR(J33/J34,0)</f>
        <v/>
      </c>
      <c r="K35" s="42">
        <f>IFERROR(K33/K34,0)</f>
        <v/>
      </c>
      <c r="L35" s="42">
        <f>IFERROR(L34/#REF!,0)</f>
        <v/>
      </c>
      <c r="M35" s="42">
        <f>IFERROR(M33/M34,0)</f>
        <v/>
      </c>
      <c r="N35" s="42">
        <f>IFERROR(N33/N34,0)</f>
        <v/>
      </c>
      <c r="O35" s="42">
        <f>O33/O34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99">
      <c r="A36" s="1" t="n"/>
      <c r="B36" s="45" t="inlineStr">
        <is>
          <t>Meta</t>
        </is>
      </c>
      <c r="C36" s="86">
        <f>$D$13</f>
        <v/>
      </c>
      <c r="D36" s="86">
        <f>$D$13</f>
        <v/>
      </c>
      <c r="E36" s="86">
        <f>$D$13</f>
        <v/>
      </c>
      <c r="F36" s="86">
        <f>$D$13</f>
        <v/>
      </c>
      <c r="G36" s="86">
        <f>$D$13</f>
        <v/>
      </c>
      <c r="H36" s="86">
        <f>$D$13</f>
        <v/>
      </c>
      <c r="I36" s="86">
        <f>$D$13</f>
        <v/>
      </c>
      <c r="J36" s="86">
        <f>$D$13</f>
        <v/>
      </c>
      <c r="K36" s="86">
        <f>$D$13</f>
        <v/>
      </c>
      <c r="L36" s="86">
        <f>$D$13</f>
        <v/>
      </c>
      <c r="M36" s="86">
        <f>$D$13</f>
        <v/>
      </c>
      <c r="N36" s="86">
        <f>$D$13</f>
        <v/>
      </c>
      <c r="O36" s="86">
        <f>$D$13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45" t="inlineStr">
        <is>
          <t>Calificación</t>
        </is>
      </c>
      <c r="C37" s="87">
        <f>IF(C35&gt;0,0%,100%)</f>
        <v/>
      </c>
      <c r="D37" s="87">
        <f>IF(D35&gt;0,0%,100%)</f>
        <v/>
      </c>
      <c r="E37" s="87">
        <f>IF(E35&gt;0,0%,100%)</f>
        <v/>
      </c>
      <c r="F37" s="87">
        <f>IF(F35&gt;0,0%,100%)</f>
        <v/>
      </c>
      <c r="G37" s="87">
        <f>IF(G35&gt;0,0%,100%)</f>
        <v/>
      </c>
      <c r="H37" s="87">
        <f>IF(H35&gt;0,0%,100%)</f>
        <v/>
      </c>
      <c r="I37" s="87">
        <f>IF(I35&gt;0,0%,100%)</f>
        <v/>
      </c>
      <c r="J37" s="87">
        <f>IF(J35&gt;0,0%,100%)</f>
        <v/>
      </c>
      <c r="K37" s="87">
        <f>IF(K35&gt;0,0%,100%)</f>
        <v/>
      </c>
      <c r="L37" s="87">
        <f>IF(L35&gt;0,0%,100%)</f>
        <v/>
      </c>
      <c r="M37" s="87">
        <f>IF(M35&gt;0,0%,100%)</f>
        <v/>
      </c>
      <c r="N37" s="87">
        <f>IF(N35&gt;0,0%,100%)</f>
        <v/>
      </c>
      <c r="O37" s="87">
        <f>IF(O35&gt;0,0%,100%)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8.25" customHeight="1" s="99">
      <c r="A38" s="1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229" t="inlineStr">
        <is>
          <t>AÑO 2025</t>
        </is>
      </c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99">
      <c r="A40" s="1" t="n"/>
      <c r="B40" s="40" t="inlineStr">
        <is>
          <t>PARÁMETROS</t>
        </is>
      </c>
      <c r="C40" s="50" t="inlineStr">
        <is>
          <t>ENERO</t>
        </is>
      </c>
      <c r="D40" s="50" t="inlineStr">
        <is>
          <t>FEBRERO</t>
        </is>
      </c>
      <c r="E40" s="50" t="inlineStr">
        <is>
          <t>MARZO</t>
        </is>
      </c>
      <c r="F40" s="50" t="inlineStr">
        <is>
          <t>ABRIL</t>
        </is>
      </c>
      <c r="G40" s="50" t="inlineStr">
        <is>
          <t>MAYO</t>
        </is>
      </c>
      <c r="H40" s="50" t="inlineStr">
        <is>
          <t>JUNIO</t>
        </is>
      </c>
      <c r="I40" s="50" t="inlineStr">
        <is>
          <t>JULIO</t>
        </is>
      </c>
      <c r="J40" s="50" t="inlineStr">
        <is>
          <t>AGOSTO</t>
        </is>
      </c>
      <c r="K40" s="50" t="inlineStr">
        <is>
          <t>SEPTIEMBRE</t>
        </is>
      </c>
      <c r="L40" s="50" t="inlineStr">
        <is>
          <t>OCTUBRE</t>
        </is>
      </c>
      <c r="M40" s="50" t="inlineStr">
        <is>
          <t>NOVIEMBRE</t>
        </is>
      </c>
      <c r="N40" s="50" t="inlineStr">
        <is>
          <t>DICIEMBRE</t>
        </is>
      </c>
      <c r="O40" s="50" t="inlineStr">
        <is>
          <t>TOTAL 2025</t>
        </is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41" t="inlineStr">
        <is>
          <t>Número de AT Mortales</t>
        </is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2">
        <f>SUM(C41:N41)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41" t="inlineStr">
        <is>
          <t>Número de AT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42">
        <f>SUM(C42:M42)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45" t="inlineStr">
        <is>
          <t>Indice de Mortalidad</t>
        </is>
      </c>
      <c r="C43" s="42">
        <f>IFERROR(C41/C42,0)</f>
        <v/>
      </c>
      <c r="D43" s="42">
        <f>IFERROR(D41/D42,0)</f>
        <v/>
      </c>
      <c r="E43" s="42">
        <f>IFERROR(E41/E42,0)</f>
        <v/>
      </c>
      <c r="F43" s="42">
        <f>IFERROR(F41/F42,0)</f>
        <v/>
      </c>
      <c r="G43" s="42">
        <f>IFERROR(G41/G42,0)</f>
        <v/>
      </c>
      <c r="H43" s="42">
        <f>IFERROR(H41/H42,0)</f>
        <v/>
      </c>
      <c r="I43" s="42">
        <f>IFERROR(I41/I42,0)</f>
        <v/>
      </c>
      <c r="J43" s="42">
        <f>IFERROR(J41/J42,0)</f>
        <v/>
      </c>
      <c r="K43" s="42">
        <f>IFERROR(K41/K42,0)</f>
        <v/>
      </c>
      <c r="L43" s="42">
        <f>IFERROR(L41/L42,0)</f>
        <v/>
      </c>
      <c r="M43" s="42">
        <f>IFERROR(M41/M42,0)</f>
        <v/>
      </c>
      <c r="N43" s="42">
        <f>IFERROR(N41/N42,0)</f>
        <v/>
      </c>
      <c r="O43" s="42">
        <f>O41/O42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45" t="inlineStr">
        <is>
          <t>Meta</t>
        </is>
      </c>
      <c r="C44" s="86">
        <f>$D$13</f>
        <v/>
      </c>
      <c r="D44" s="86">
        <f>$D$13</f>
        <v/>
      </c>
      <c r="E44" s="86">
        <f>$D$13</f>
        <v/>
      </c>
      <c r="F44" s="86">
        <f>$D$13</f>
        <v/>
      </c>
      <c r="G44" s="86">
        <f>$D$13</f>
        <v/>
      </c>
      <c r="H44" s="86">
        <f>$D$13</f>
        <v/>
      </c>
      <c r="I44" s="86">
        <f>$D$13</f>
        <v/>
      </c>
      <c r="J44" s="86">
        <f>$D$13</f>
        <v/>
      </c>
      <c r="K44" s="86">
        <f>$D$13</f>
        <v/>
      </c>
      <c r="L44" s="86">
        <f>$D$13</f>
        <v/>
      </c>
      <c r="M44" s="86" t="n">
        <v>0</v>
      </c>
      <c r="N44" s="86" t="n">
        <v>0</v>
      </c>
      <c r="O44" s="86">
        <f>$D$13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5" t="inlineStr">
        <is>
          <t>Calificación</t>
        </is>
      </c>
      <c r="C45" s="87">
        <f>IF(C43&gt;0,0%,100%)</f>
        <v/>
      </c>
      <c r="D45" s="87">
        <f>IF(D43&gt;0,0%,100%)</f>
        <v/>
      </c>
      <c r="E45" s="87">
        <f>IF(E43&gt;0,0%,100%)</f>
        <v/>
      </c>
      <c r="F45" s="87">
        <f>IF(F43&gt;0,0%,100%)</f>
        <v/>
      </c>
      <c r="G45" s="87">
        <f>IF(G43&gt;0,0%,100%)</f>
        <v/>
      </c>
      <c r="H45" s="87">
        <f>IF(H43&gt;0,0%,100%)</f>
        <v/>
      </c>
      <c r="I45" s="87">
        <f>IF(I43&gt;0,0%,100%)</f>
        <v/>
      </c>
      <c r="J45" s="87">
        <f>IF(J43&gt;0,0%,100%)</f>
        <v/>
      </c>
      <c r="K45" s="87">
        <f>IF(K43&gt;0,0%,100%)</f>
        <v/>
      </c>
      <c r="L45" s="87">
        <f>IF(L43&gt;0,0%,100%)</f>
        <v/>
      </c>
      <c r="M45" s="87">
        <f>IF(M43&gt;0,0%,100%)</f>
        <v/>
      </c>
      <c r="N45" s="87">
        <f>IF(N43&gt;0,0%,100%)</f>
        <v/>
      </c>
      <c r="O45" s="87">
        <f>IF(O43&gt;0,0%,100%)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8.25" customHeight="1" s="99">
      <c r="A46" s="1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99">
      <c r="A47" s="1" t="n"/>
      <c r="B47" s="236" t="inlineStr">
        <is>
          <t>GRAFICA DEL INDICADOR</t>
        </is>
      </c>
      <c r="C47" s="203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  <c r="M47" s="203" t="n"/>
      <c r="N47" s="203" t="n"/>
      <c r="O47" s="176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393" customHeight="1" s="99">
      <c r="A48" s="1" t="n"/>
      <c r="B48" s="52" t="n"/>
      <c r="C48" s="53" t="n"/>
      <c r="D48" s="53" t="n"/>
      <c r="E48" s="53" t="n"/>
      <c r="F48" s="53" t="n"/>
      <c r="G48" s="53" t="n"/>
      <c r="H48" s="53" t="n"/>
      <c r="I48" s="54" t="n"/>
      <c r="J48" s="53" t="n"/>
      <c r="K48" s="53" t="n"/>
      <c r="L48" s="53" t="n"/>
      <c r="M48" s="53" t="n"/>
      <c r="N48" s="53" t="n"/>
      <c r="O48" s="54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9" customHeight="1" s="9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99">
      <c r="A50" s="1" t="n"/>
      <c r="B50" s="233" t="inlineStr">
        <is>
          <t>ANÁLISIS</t>
        </is>
      </c>
      <c r="C50" s="195" t="n"/>
      <c r="D50" s="195" t="n"/>
      <c r="E50" s="195" t="n"/>
      <c r="F50" s="195" t="n"/>
      <c r="G50" s="195" t="n"/>
      <c r="H50" s="195" t="n"/>
      <c r="I50" s="193" t="n"/>
      <c r="J50" s="233" t="inlineStr">
        <is>
          <t>ACCIONES DE MEJORA</t>
        </is>
      </c>
      <c r="K50" s="195" t="n"/>
      <c r="L50" s="195" t="n"/>
      <c r="M50" s="195" t="n"/>
      <c r="N50" s="195" t="n"/>
      <c r="O50" s="193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5.25" customHeight="1" s="99">
      <c r="A51" s="1" t="n"/>
      <c r="B51" s="206" t="n"/>
      <c r="C51" s="195" t="n"/>
      <c r="D51" s="195" t="n"/>
      <c r="E51" s="195" t="n"/>
      <c r="F51" s="195" t="n"/>
      <c r="G51" s="195" t="n"/>
      <c r="H51" s="195" t="n"/>
      <c r="I51" s="193" t="n"/>
      <c r="J51" s="206" t="n"/>
      <c r="K51" s="195" t="n"/>
      <c r="L51" s="195" t="n"/>
      <c r="M51" s="195" t="n"/>
      <c r="N51" s="195" t="n"/>
      <c r="O51" s="193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5.25" customHeight="1" s="99">
      <c r="A52" s="1" t="n"/>
      <c r="B52" s="206" t="n"/>
      <c r="C52" s="195" t="n"/>
      <c r="D52" s="195" t="n"/>
      <c r="E52" s="195" t="n"/>
      <c r="F52" s="195" t="n"/>
      <c r="G52" s="195" t="n"/>
      <c r="H52" s="195" t="n"/>
      <c r="I52" s="193" t="n"/>
      <c r="J52" s="206" t="n"/>
      <c r="K52" s="195" t="n"/>
      <c r="L52" s="195" t="n"/>
      <c r="M52" s="195" t="n"/>
      <c r="N52" s="195" t="n"/>
      <c r="O52" s="19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5.25" customHeight="1" s="99">
      <c r="A53" s="1" t="n"/>
      <c r="B53" s="206" t="n"/>
      <c r="C53" s="195" t="n"/>
      <c r="D53" s="195" t="n"/>
      <c r="E53" s="195" t="n"/>
      <c r="F53" s="195" t="n"/>
      <c r="G53" s="195" t="n"/>
      <c r="H53" s="195" t="n"/>
      <c r="I53" s="193" t="n"/>
      <c r="J53" s="206" t="n"/>
      <c r="K53" s="195" t="n"/>
      <c r="L53" s="195" t="n"/>
      <c r="M53" s="195" t="n"/>
      <c r="N53" s="195" t="n"/>
      <c r="O53" s="193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5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5.25" customHeight="1" s="99">
      <c r="A55" s="1" t="n"/>
      <c r="B55" s="206" t="n"/>
      <c r="C55" s="195" t="n"/>
      <c r="D55" s="195" t="n"/>
      <c r="E55" s="195" t="n"/>
      <c r="F55" s="195" t="n"/>
      <c r="G55" s="195" t="n"/>
      <c r="H55" s="195" t="n"/>
      <c r="I55" s="193" t="n"/>
      <c r="J55" s="206" t="n"/>
      <c r="K55" s="195" t="n"/>
      <c r="L55" s="195" t="n"/>
      <c r="M55" s="195" t="n"/>
      <c r="N55" s="195" t="n"/>
      <c r="O55" s="193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5.25" customHeight="1" s="99">
      <c r="A56" s="1" t="n"/>
      <c r="B56" s="206" t="n"/>
      <c r="C56" s="195" t="n"/>
      <c r="D56" s="195" t="n"/>
      <c r="E56" s="195" t="n"/>
      <c r="F56" s="195" t="n"/>
      <c r="G56" s="195" t="n"/>
      <c r="H56" s="195" t="n"/>
      <c r="I56" s="193" t="n"/>
      <c r="J56" s="206" t="n"/>
      <c r="K56" s="195" t="n"/>
      <c r="L56" s="195" t="n"/>
      <c r="M56" s="195" t="n"/>
      <c r="N56" s="195" t="n"/>
      <c r="O56" s="193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5.25" customHeight="1" s="99">
      <c r="A57" s="1" t="n"/>
      <c r="B57" s="206" t="n"/>
      <c r="C57" s="195" t="n"/>
      <c r="D57" s="195" t="n"/>
      <c r="E57" s="195" t="n"/>
      <c r="F57" s="195" t="n"/>
      <c r="G57" s="195" t="n"/>
      <c r="H57" s="195" t="n"/>
      <c r="I57" s="193" t="n"/>
      <c r="J57" s="206" t="n"/>
      <c r="K57" s="195" t="n"/>
      <c r="L57" s="195" t="n"/>
      <c r="M57" s="195" t="n"/>
      <c r="N57" s="195" t="n"/>
      <c r="O57" s="19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9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9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9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4">
    <mergeCell ref="B13:C14"/>
    <mergeCell ref="B16:C16"/>
    <mergeCell ref="J53:O53"/>
    <mergeCell ref="D4:M4"/>
    <mergeCell ref="D11:O11"/>
    <mergeCell ref="B47:O47"/>
    <mergeCell ref="B54:I54"/>
    <mergeCell ref="B7:O7"/>
    <mergeCell ref="J55:O55"/>
    <mergeCell ref="B31:O31"/>
    <mergeCell ref="B18:C18"/>
    <mergeCell ref="D17:O17"/>
    <mergeCell ref="B22:O22"/>
    <mergeCell ref="D2:M3"/>
    <mergeCell ref="B12:C12"/>
    <mergeCell ref="B56:I56"/>
    <mergeCell ref="D16:O16"/>
    <mergeCell ref="J54:O54"/>
    <mergeCell ref="B52:I52"/>
    <mergeCell ref="B21:O21"/>
    <mergeCell ref="B11:C11"/>
    <mergeCell ref="B39:O39"/>
    <mergeCell ref="B2:C4"/>
    <mergeCell ref="D18:O18"/>
    <mergeCell ref="J56:O56"/>
    <mergeCell ref="B17:C17"/>
    <mergeCell ref="D9:O9"/>
    <mergeCell ref="B23:O23"/>
    <mergeCell ref="B57:I57"/>
    <mergeCell ref="J50:O50"/>
    <mergeCell ref="B8:O8"/>
    <mergeCell ref="B53:I53"/>
    <mergeCell ref="J51:O51"/>
    <mergeCell ref="D15:O15"/>
    <mergeCell ref="B19:C19"/>
    <mergeCell ref="B10:C10"/>
    <mergeCell ref="J52:O52"/>
    <mergeCell ref="B9:C9"/>
    <mergeCell ref="D20:O20"/>
    <mergeCell ref="B6:C6"/>
    <mergeCell ref="D12:N12"/>
    <mergeCell ref="D10:O10"/>
    <mergeCell ref="B15:C15"/>
    <mergeCell ref="D19:O19"/>
    <mergeCell ref="J57:O57"/>
    <mergeCell ref="B55:I55"/>
    <mergeCell ref="B51:I51"/>
    <mergeCell ref="B30:O30"/>
    <mergeCell ref="B20:C20"/>
    <mergeCell ref="N2:O3"/>
    <mergeCell ref="B5:O5"/>
    <mergeCell ref="B50:I50"/>
    <mergeCell ref="N4:O4"/>
    <mergeCell ref="D6:O6"/>
  </mergeCells>
  <conditionalFormatting sqref="C27:O27">
    <cfRule type="cellIs" priority="1" operator="greaterThan" dxfId="1">
      <formula>C28</formula>
    </cfRule>
    <cfRule type="cellIs" priority="2" operator="lessThanOrEqual" dxfId="0">
      <formula>C28</formula>
    </cfRule>
  </conditionalFormatting>
  <conditionalFormatting sqref="C35:O35">
    <cfRule type="cellIs" priority="3" operator="greaterThan" dxfId="1">
      <formula>C36</formula>
    </cfRule>
    <cfRule type="cellIs" priority="4" operator="lessThanOrEqual" dxfId="0">
      <formula>C36</formula>
    </cfRule>
  </conditionalFormatting>
  <conditionalFormatting sqref="C43:O43">
    <cfRule type="cellIs" priority="5" operator="greaterThan" dxfId="1">
      <formula>C44</formula>
    </cfRule>
    <cfRule type="cellIs" priority="6" operator="lessThanOrEqual" dxfId="0">
      <formula>C44</formula>
    </cfRule>
  </conditionalFormatting>
  <pageMargins left="0.7" right="0.7" top="0.75" bottom="0.75" header="0" footer="0"/>
  <pageSetup orientation="portrait"/>
  <rowBreaks count="1" manualBreakCount="1">
    <brk id="50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Z999"/>
  <sheetViews>
    <sheetView showGridLines="0" workbookViewId="0">
      <selection activeCell="A6" sqref="A6:XFD6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1.44140625" customWidth="1" style="99" min="4" max="4"/>
    <col width="9.44140625" customWidth="1" style="99" min="5" max="5"/>
    <col width="13.33203125" customWidth="1" style="99" min="6" max="6"/>
    <col width="8.33203125" customWidth="1" style="99" min="7" max="9"/>
    <col width="11.109375" customWidth="1" style="99" min="10" max="10"/>
    <col width="15.109375" customWidth="1" style="99" min="11" max="11"/>
    <col width="14.33203125" customWidth="1" style="99" min="12" max="12"/>
    <col width="14.5546875" customWidth="1" style="99" min="13" max="13"/>
    <col width="13.441406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3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37" t="inlineStr">
        <is>
          <t>OBJETIVO:</t>
        </is>
      </c>
      <c r="C6" s="193" t="n"/>
      <c r="D6" s="194" t="inlineStr">
        <is>
          <t>Establecer la incidencia de la enfermedad laboral originada en la empresa Laboratorios LT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37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Incidencia de la Enfermedad Laboral (EL)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META:</t>
        </is>
      </c>
      <c r="C13" s="176" t="n"/>
      <c r="D13" s="75" t="n">
        <v>0</v>
      </c>
      <c r="E13" s="76" t="inlineStr">
        <is>
          <t>Casos de EL</t>
        </is>
      </c>
      <c r="F13" s="77" t="n"/>
      <c r="G13" s="78" t="n">
        <v>1</v>
      </c>
      <c r="H13" s="79" t="inlineStr">
        <is>
          <t>CUMPLE</t>
        </is>
      </c>
      <c r="I13" s="80" t="n"/>
      <c r="J13" s="76" t="n"/>
      <c r="K13" s="76" t="n"/>
      <c r="L13" s="34" t="n"/>
      <c r="M13" s="34" t="n"/>
      <c r="N13" s="34" t="n"/>
      <c r="O13" s="35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75" t="inlineStr">
        <is>
          <t xml:space="preserve">&gt;1 </t>
        </is>
      </c>
      <c r="E14" s="76" t="inlineStr">
        <is>
          <t>Casos de EL</t>
        </is>
      </c>
      <c r="F14" s="77" t="n"/>
      <c r="G14" s="81" t="n">
        <v>0</v>
      </c>
      <c r="H14" s="82" t="inlineStr">
        <is>
          <t>NO CUMPLE</t>
        </is>
      </c>
      <c r="I14" s="83" t="n"/>
      <c r="J14" s="84" t="n"/>
      <c r="K14" s="76" t="n"/>
      <c r="L14" s="36" t="n"/>
      <c r="M14" s="36" t="n"/>
      <c r="N14" s="36" t="n"/>
      <c r="O14" s="37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15" t="inlineStr">
        <is>
          <t>ORIGEN DE LA INFORMACIÓN:</t>
        </is>
      </c>
      <c r="C15" s="193" t="n"/>
      <c r="D15" s="227" t="inlineStr">
        <is>
          <t>Informes de Juntas de Calificación de EL, Informes de ARL.</t>
        </is>
      </c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3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 s="99">
      <c r="A16" s="1" t="n"/>
      <c r="B16" s="215" t="inlineStr">
        <is>
          <t>FORMULA:</t>
        </is>
      </c>
      <c r="C16" s="193" t="n"/>
      <c r="D16" s="228" t="inlineStr">
        <is>
          <t># casos nuevos de EL en el periodo/Promedio total de trabajadores en el periodo * 10n</t>
        </is>
      </c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88" t="inlineStr">
        <is>
          <t>10n</t>
        </is>
      </c>
      <c r="O16" s="89" t="n">
        <v>100000</v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99">
      <c r="A17" s="1" t="n"/>
      <c r="B17" s="215" t="inlineStr">
        <is>
          <t>TÉCNICA ESTADÍSTICA:</t>
        </is>
      </c>
      <c r="C17" s="193" t="n"/>
      <c r="D17" s="214" t="inlineStr">
        <is>
          <t>Grafico de barras</t>
        </is>
      </c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99">
      <c r="A18" s="1" t="n"/>
      <c r="B18" s="215" t="inlineStr">
        <is>
          <t>FRECUENCIA:</t>
        </is>
      </c>
      <c r="C18" s="193" t="n"/>
      <c r="D18" s="227" t="inlineStr">
        <is>
          <t>Mensual</t>
        </is>
      </c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99">
      <c r="A19" s="1" t="n"/>
      <c r="B19" s="215" t="inlineStr">
        <is>
          <t>TENDENCIA:</t>
        </is>
      </c>
      <c r="C19" s="193" t="n"/>
      <c r="D19" s="214" t="inlineStr">
        <is>
          <t>Descendente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99">
      <c r="A20" s="1" t="n"/>
      <c r="B20" s="215" t="inlineStr">
        <is>
          <t>UNIDAD DE MEDIDA:</t>
        </is>
      </c>
      <c r="C20" s="193" t="n"/>
      <c r="D20" s="214" t="inlineStr">
        <is>
          <t>Índice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8.25" customHeight="1" s="99">
      <c r="A21" s="1" t="n"/>
      <c r="B21" s="190" t="n"/>
      <c r="O21" s="19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99">
      <c r="A22" s="1" t="n"/>
      <c r="B22" s="238" t="inlineStr">
        <is>
          <t>DATOS DE MEDICIÓN</t>
        </is>
      </c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99">
      <c r="A23" s="1" t="n"/>
      <c r="B23" s="230" t="inlineStr">
        <is>
          <t>AÑO 2023</t>
        </is>
      </c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9">
      <c r="A24" s="1" t="n"/>
      <c r="B24" s="70" t="inlineStr">
        <is>
          <t>PARÁMETROS</t>
        </is>
      </c>
      <c r="C24" s="40" t="inlineStr">
        <is>
          <t>ENERO</t>
        </is>
      </c>
      <c r="D24" s="40" t="inlineStr">
        <is>
          <t>FEBRERO</t>
        </is>
      </c>
      <c r="E24" s="40" t="inlineStr">
        <is>
          <t>MARZO</t>
        </is>
      </c>
      <c r="F24" s="40" t="inlineStr">
        <is>
          <t>ABRIL</t>
        </is>
      </c>
      <c r="G24" s="40" t="inlineStr">
        <is>
          <t>MAYO</t>
        </is>
      </c>
      <c r="H24" s="40" t="inlineStr">
        <is>
          <t>JUNIO</t>
        </is>
      </c>
      <c r="I24" s="40" t="inlineStr">
        <is>
          <t>JULIO</t>
        </is>
      </c>
      <c r="J24" s="40" t="inlineStr">
        <is>
          <t>AGOSTO</t>
        </is>
      </c>
      <c r="K24" s="40" t="inlineStr">
        <is>
          <t>SEPTIEMBRE</t>
        </is>
      </c>
      <c r="L24" s="40" t="inlineStr">
        <is>
          <t>OCTUBRE</t>
        </is>
      </c>
      <c r="M24" s="40" t="inlineStr">
        <is>
          <t>NOVIEMBRE</t>
        </is>
      </c>
      <c r="N24" s="40" t="inlineStr">
        <is>
          <t>DICIEMBRE</t>
        </is>
      </c>
      <c r="O24" s="40" t="inlineStr">
        <is>
          <t>TOTAL 2023</t>
        </is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99">
      <c r="A25" s="1" t="n"/>
      <c r="B25" s="71" t="inlineStr">
        <is>
          <t>Número casos nuevos EL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43">
        <f>SUM(C25:N25)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47" t="inlineStr">
        <is>
          <t>Número de trabajadores</t>
        </is>
      </c>
      <c r="C26" s="85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43">
        <f>AVERAGE(C26:N26)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47" t="inlineStr">
        <is>
          <t>Indice de  incidencia</t>
        </is>
      </c>
      <c r="C27" s="42">
        <f>(C25)/C26*$O$16</f>
        <v/>
      </c>
      <c r="D27" s="42">
        <f>(D25)/D26*$O$16</f>
        <v/>
      </c>
      <c r="E27" s="42">
        <f>(E25)/E26*$O$16</f>
        <v/>
      </c>
      <c r="F27" s="42">
        <f>(F25)/F26*$O$16</f>
        <v/>
      </c>
      <c r="G27" s="42">
        <f>(G25)/G26*$O$16</f>
        <v/>
      </c>
      <c r="H27" s="42">
        <f>(H25)/H26*$O$16</f>
        <v/>
      </c>
      <c r="I27" s="42">
        <f>(I25)/I26*$O$16</f>
        <v/>
      </c>
      <c r="J27" s="42">
        <f>(J25)/J26*$O$16</f>
        <v/>
      </c>
      <c r="K27" s="42">
        <f>(K25)/K26*$O$16</f>
        <v/>
      </c>
      <c r="L27" s="42">
        <f>(L25)/L26*$O$16</f>
        <v/>
      </c>
      <c r="M27" s="42">
        <f>(M25)/M26*$O$16</f>
        <v/>
      </c>
      <c r="N27" s="42">
        <f>(N25)/N26*$O$16</f>
        <v/>
      </c>
      <c r="O27" s="42">
        <f>(O25)/O26*$O$16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47" t="inlineStr">
        <is>
          <t>Meta</t>
        </is>
      </c>
      <c r="C28" s="86">
        <f>$D$13</f>
        <v/>
      </c>
      <c r="D28" s="86">
        <f>$D$13</f>
        <v/>
      </c>
      <c r="E28" s="86">
        <f>$D$13</f>
        <v/>
      </c>
      <c r="F28" s="86">
        <f>$D$13</f>
        <v/>
      </c>
      <c r="G28" s="86">
        <f>$D$13</f>
        <v/>
      </c>
      <c r="H28" s="86">
        <f>$D$13</f>
        <v/>
      </c>
      <c r="I28" s="86">
        <f>$D$13</f>
        <v/>
      </c>
      <c r="J28" s="86">
        <f>$D$13</f>
        <v/>
      </c>
      <c r="K28" s="86">
        <f>$D$13</f>
        <v/>
      </c>
      <c r="L28" s="86">
        <f>$D$13</f>
        <v/>
      </c>
      <c r="M28" s="86">
        <f>$D$13</f>
        <v/>
      </c>
      <c r="N28" s="86">
        <f>$D$13</f>
        <v/>
      </c>
      <c r="O28" s="86">
        <f>$D$13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99">
      <c r="A29" s="1" t="n"/>
      <c r="B29" s="47" t="inlineStr">
        <is>
          <t>Calificación</t>
        </is>
      </c>
      <c r="C29" s="87">
        <f>IF(C27&gt;0,0%,100%)</f>
        <v/>
      </c>
      <c r="D29" s="87">
        <f>IF(D27&gt;0,0%,100%)</f>
        <v/>
      </c>
      <c r="E29" s="87">
        <f>IF(E27&gt;0,0%,100%)</f>
        <v/>
      </c>
      <c r="F29" s="87">
        <f>IF(F27&gt;0,0%,100%)</f>
        <v/>
      </c>
      <c r="G29" s="87">
        <f>IF(G27&gt;0,0%,100%)</f>
        <v/>
      </c>
      <c r="H29" s="87">
        <f>IF(H27&gt;0,0%,100%)</f>
        <v/>
      </c>
      <c r="I29" s="87">
        <f>IF(I27&gt;0,0%,100%)</f>
        <v/>
      </c>
      <c r="J29" s="87">
        <f>IF(J27&gt;0,0%,100%)</f>
        <v/>
      </c>
      <c r="K29" s="87">
        <f>IF(K27&gt;0,0%,100%)</f>
        <v/>
      </c>
      <c r="L29" s="87">
        <f>IF(L27&gt;0,0%,100%)</f>
        <v/>
      </c>
      <c r="M29" s="87">
        <f>IF(M27&gt;0,0%,100%)</f>
        <v/>
      </c>
      <c r="N29" s="87">
        <f>IF(N27&gt;0,0%,100%)</f>
        <v/>
      </c>
      <c r="O29" s="87">
        <f>IF(O27&gt;0,0%,100%)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8.25" customHeight="1" s="99">
      <c r="A30" s="1" t="n"/>
      <c r="B30" s="231" t="n"/>
      <c r="O30" s="19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99">
      <c r="A31" s="1" t="n"/>
      <c r="B31" s="238" t="inlineStr">
        <is>
          <t>AÑO 2024</t>
        </is>
      </c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70" t="inlineStr">
        <is>
          <t>PARÁMETROS</t>
        </is>
      </c>
      <c r="C32" s="40" t="inlineStr">
        <is>
          <t>ENERO</t>
        </is>
      </c>
      <c r="D32" s="40" t="inlineStr">
        <is>
          <t>FEBRERO</t>
        </is>
      </c>
      <c r="E32" s="40" t="inlineStr">
        <is>
          <t>MARZO</t>
        </is>
      </c>
      <c r="F32" s="40" t="inlineStr">
        <is>
          <t>ABRIL</t>
        </is>
      </c>
      <c r="G32" s="40" t="inlineStr">
        <is>
          <t>MAYO</t>
        </is>
      </c>
      <c r="H32" s="40" t="inlineStr">
        <is>
          <t>JUNIO</t>
        </is>
      </c>
      <c r="I32" s="40" t="inlineStr">
        <is>
          <t>JULIO</t>
        </is>
      </c>
      <c r="J32" s="40" t="inlineStr">
        <is>
          <t>AGOSTO</t>
        </is>
      </c>
      <c r="K32" s="40" t="inlineStr">
        <is>
          <t>SEPTIEMBRE</t>
        </is>
      </c>
      <c r="L32" s="40" t="inlineStr">
        <is>
          <t>OCTUBRE</t>
        </is>
      </c>
      <c r="M32" s="40" t="inlineStr">
        <is>
          <t>NOVIEMBRE</t>
        </is>
      </c>
      <c r="N32" s="40" t="inlineStr">
        <is>
          <t>DICIEMBRE</t>
        </is>
      </c>
      <c r="O32" s="40" t="inlineStr">
        <is>
          <t>TOTAL 2024</t>
        </is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71" t="inlineStr">
        <is>
          <t>Número casos nuevos EL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43">
        <f>SUM(C33:N33)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47" t="inlineStr">
        <is>
          <t>Número de trabajadores</t>
        </is>
      </c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43">
        <f>AVERAGE(C34:N34)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47" t="inlineStr">
        <is>
          <t>Indice de  incidencia</t>
        </is>
      </c>
      <c r="C35" s="42">
        <f>(C33)/C34*$O$16</f>
        <v/>
      </c>
      <c r="D35" s="42">
        <f>(D33)/D34*$O$16</f>
        <v/>
      </c>
      <c r="E35" s="42">
        <f>(E33)/E34*$O$16</f>
        <v/>
      </c>
      <c r="F35" s="42">
        <f>(F33)/F34*$O$16</f>
        <v/>
      </c>
      <c r="G35" s="42">
        <f>(G33)/G34*$O$16</f>
        <v/>
      </c>
      <c r="H35" s="42">
        <f>(H33)/H34*$O$16</f>
        <v/>
      </c>
      <c r="I35" s="42">
        <f>(I33)/I34*$O$16</f>
        <v/>
      </c>
      <c r="J35" s="42">
        <f>(J33)/J34*$O$16</f>
        <v/>
      </c>
      <c r="K35" s="42">
        <f>(K33)/K34*$O$16</f>
        <v/>
      </c>
      <c r="L35" s="42">
        <f>(L33)/L34*$O$16</f>
        <v/>
      </c>
      <c r="M35" s="42">
        <f>(M33)/M34*$O$16</f>
        <v/>
      </c>
      <c r="N35" s="42">
        <f>(N33)/N34*$O$16</f>
        <v/>
      </c>
      <c r="O35" s="42">
        <f>(O33)/O34*$O$16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99">
      <c r="A36" s="1" t="n"/>
      <c r="B36" s="47" t="inlineStr">
        <is>
          <t>Meta</t>
        </is>
      </c>
      <c r="C36" s="86">
        <f>$D$13</f>
        <v/>
      </c>
      <c r="D36" s="86">
        <f>$D$13</f>
        <v/>
      </c>
      <c r="E36" s="86">
        <f>$D$13</f>
        <v/>
      </c>
      <c r="F36" s="86">
        <f>$D$13</f>
        <v/>
      </c>
      <c r="G36" s="86">
        <f>$D$13</f>
        <v/>
      </c>
      <c r="H36" s="86">
        <f>$D$13</f>
        <v/>
      </c>
      <c r="I36" s="86">
        <f>$D$13</f>
        <v/>
      </c>
      <c r="J36" s="86">
        <f>$D$13</f>
        <v/>
      </c>
      <c r="K36" s="86">
        <f>$D$13</f>
        <v/>
      </c>
      <c r="L36" s="86">
        <f>$D$13</f>
        <v/>
      </c>
      <c r="M36" s="86">
        <f>$D$13</f>
        <v/>
      </c>
      <c r="N36" s="86">
        <f>$D$13</f>
        <v/>
      </c>
      <c r="O36" s="86">
        <f>$D$13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47" t="inlineStr">
        <is>
          <t>Calificación</t>
        </is>
      </c>
      <c r="C37" s="87">
        <f>IF(C35&gt;0,0%,100%)</f>
        <v/>
      </c>
      <c r="D37" s="87">
        <f>IF(D35&gt;0,0%,100%)</f>
        <v/>
      </c>
      <c r="E37" s="87">
        <f>IF(E35&gt;0,0%,100%)</f>
        <v/>
      </c>
      <c r="F37" s="87">
        <f>IF(F35&gt;0,0%,100%)</f>
        <v/>
      </c>
      <c r="G37" s="87">
        <f>IF(G35&gt;0,0%,100%)</f>
        <v/>
      </c>
      <c r="H37" s="87">
        <f>IF(H35&gt;0,0%,100%)</f>
        <v/>
      </c>
      <c r="I37" s="87">
        <f>IF(I35&gt;0,0%,100%)</f>
        <v/>
      </c>
      <c r="J37" s="87">
        <f>IF(J35&gt;0,0%,100%)</f>
        <v/>
      </c>
      <c r="K37" s="87">
        <f>IF(K35&gt;0,0%,100%)</f>
        <v/>
      </c>
      <c r="L37" s="87">
        <f>IF(L35&gt;0,0%,100%)</f>
        <v/>
      </c>
      <c r="M37" s="87">
        <f>IF(M35&gt;0,0%,100%)</f>
        <v/>
      </c>
      <c r="N37" s="87">
        <f>IF(N35&gt;0,0%,100%)</f>
        <v/>
      </c>
      <c r="O37" s="87">
        <f>IF(O35&gt;0,0%,100%)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8.25" customHeight="1" s="99">
      <c r="A38" s="1" t="n"/>
      <c r="B38" s="146" t="n"/>
      <c r="C38" s="116" t="n"/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238" t="inlineStr">
        <is>
          <t>AÑO 2025</t>
        </is>
      </c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99">
      <c r="A40" s="1" t="n"/>
      <c r="B40" s="70" t="inlineStr">
        <is>
          <t>PARÁMETROS</t>
        </is>
      </c>
      <c r="C40" s="50" t="inlineStr">
        <is>
          <t>ENERO</t>
        </is>
      </c>
      <c r="D40" s="50" t="inlineStr">
        <is>
          <t>FEBRERO</t>
        </is>
      </c>
      <c r="E40" s="50" t="inlineStr">
        <is>
          <t>MARZO</t>
        </is>
      </c>
      <c r="F40" s="50" t="inlineStr">
        <is>
          <t>ABRIL</t>
        </is>
      </c>
      <c r="G40" s="50" t="inlineStr">
        <is>
          <t>MAYO</t>
        </is>
      </c>
      <c r="H40" s="50" t="inlineStr">
        <is>
          <t>JUNIO</t>
        </is>
      </c>
      <c r="I40" s="50" t="inlineStr">
        <is>
          <t>JULIO</t>
        </is>
      </c>
      <c r="J40" s="50" t="inlineStr">
        <is>
          <t>AGOSTO</t>
        </is>
      </c>
      <c r="K40" s="50" t="inlineStr">
        <is>
          <t>SEPTIEMBRE</t>
        </is>
      </c>
      <c r="L40" s="50" t="inlineStr">
        <is>
          <t>OCTUBRE</t>
        </is>
      </c>
      <c r="M40" s="50" t="inlineStr">
        <is>
          <t>NOVIEMBRE</t>
        </is>
      </c>
      <c r="N40" s="50" t="inlineStr">
        <is>
          <t>DICIEMBRE</t>
        </is>
      </c>
      <c r="O40" s="50" t="inlineStr">
        <is>
          <t>TOTAL 2025</t>
        </is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71" t="inlineStr">
        <is>
          <t>Número casos nuevos EL</t>
        </is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43">
        <f>SUM(C41:N41)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47" t="inlineStr">
        <is>
          <t>Número de trabajadores</t>
        </is>
      </c>
      <c r="C42" s="15" t="n"/>
      <c r="D42" s="51" t="n"/>
      <c r="E42" s="15" t="n"/>
      <c r="F42" s="15" t="n"/>
      <c r="G42" s="15" t="n"/>
      <c r="H42" s="15" t="n"/>
      <c r="I42" s="15" t="n"/>
      <c r="J42" s="90" t="n"/>
      <c r="K42" s="90" t="n"/>
      <c r="L42" s="90" t="n"/>
      <c r="M42" s="90" t="n"/>
      <c r="N42" s="90" t="n"/>
      <c r="O42" s="43">
        <f>AVERAGE(C42:N42)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47" t="inlineStr">
        <is>
          <t>Indice de incidencia.</t>
        </is>
      </c>
      <c r="C43" s="42">
        <f>(C41)/C42*$O$16</f>
        <v/>
      </c>
      <c r="D43" s="42">
        <f>(D41)/D42*$O$16</f>
        <v/>
      </c>
      <c r="E43" s="42">
        <f>(E41)/E42*$O$16</f>
        <v/>
      </c>
      <c r="F43" s="42">
        <f>(F41)/F42*$O$16</f>
        <v/>
      </c>
      <c r="G43" s="42">
        <f>(G41)/G42*$O$16</f>
        <v/>
      </c>
      <c r="H43" s="42">
        <f>(H41)/H42*$O$16</f>
        <v/>
      </c>
      <c r="I43" s="42">
        <f>(I41)/I42*$O$16</f>
        <v/>
      </c>
      <c r="J43" s="42">
        <f>(J41)/J42*$O$16</f>
        <v/>
      </c>
      <c r="K43" s="42">
        <f>(K41)/K42*$O$16</f>
        <v/>
      </c>
      <c r="L43" s="42">
        <f>(L41)/L42*$O$16</f>
        <v/>
      </c>
      <c r="M43" s="42">
        <f>(M41)/M42*$O$16</f>
        <v/>
      </c>
      <c r="N43" s="42">
        <f>(N41)/N42*$O$16</f>
        <v/>
      </c>
      <c r="O43" s="42">
        <f>(O41)/O42*$O$16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47" t="inlineStr">
        <is>
          <t>Meta</t>
        </is>
      </c>
      <c r="C44" s="86">
        <f>$D$13</f>
        <v/>
      </c>
      <c r="D44" s="86">
        <f>$D$13</f>
        <v/>
      </c>
      <c r="E44" s="86">
        <f>$D$13</f>
        <v/>
      </c>
      <c r="F44" s="86">
        <f>$D$13</f>
        <v/>
      </c>
      <c r="G44" s="86">
        <f>$D$13</f>
        <v/>
      </c>
      <c r="H44" s="86">
        <f>$D$13</f>
        <v/>
      </c>
      <c r="I44" s="86">
        <f>$D$13</f>
        <v/>
      </c>
      <c r="J44" s="86">
        <f>$D$13</f>
        <v/>
      </c>
      <c r="K44" s="86">
        <f>$D$13</f>
        <v/>
      </c>
      <c r="L44" s="86">
        <f>$D$13</f>
        <v/>
      </c>
      <c r="M44" s="86">
        <f>$D$13</f>
        <v/>
      </c>
      <c r="N44" s="86">
        <f>$D$13</f>
        <v/>
      </c>
      <c r="O44" s="86">
        <f>$D$13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7" t="inlineStr">
        <is>
          <t>Calificación</t>
        </is>
      </c>
      <c r="C45" s="87">
        <f>IF(C43&gt;0,0%,100%)</f>
        <v/>
      </c>
      <c r="D45" s="87">
        <f>IF(D43&gt;0,0%,100%)</f>
        <v/>
      </c>
      <c r="E45" s="87">
        <f>IF(E43&gt;0,0%,100%)</f>
        <v/>
      </c>
      <c r="F45" s="87">
        <f>IF(F43&gt;0,0%,100%)</f>
        <v/>
      </c>
      <c r="G45" s="87">
        <f>IF(G43&gt;0,0%,100%)</f>
        <v/>
      </c>
      <c r="H45" s="87">
        <f>IF(H43&gt;0,0%,100%)</f>
        <v/>
      </c>
      <c r="I45" s="87">
        <f>IF(I43&gt;0,0%,100%)</f>
        <v/>
      </c>
      <c r="J45" s="87">
        <f>IF(J43&gt;0,0%,100%)</f>
        <v/>
      </c>
      <c r="K45" s="87">
        <f>IF(K43&gt;0,0%,100%)</f>
        <v/>
      </c>
      <c r="L45" s="87">
        <f>IF(L43&gt;0,0%,100%)</f>
        <v/>
      </c>
      <c r="M45" s="87">
        <f>IF(M43&gt;0,0%,100%)</f>
        <v/>
      </c>
      <c r="N45" s="87">
        <f>IF(N43&gt;0,0%,100%)</f>
        <v/>
      </c>
      <c r="O45" s="87">
        <f>IF(O43&gt;0,0%,100%)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7.5" customHeight="1" s="99">
      <c r="A46" s="1" t="n"/>
      <c r="B46" s="91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92" t="n"/>
      <c r="N46" s="92" t="n"/>
      <c r="O46" s="92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99">
      <c r="A47" s="1" t="n"/>
      <c r="B47" s="239" t="inlineStr">
        <is>
          <t>GRAFICA DEL INDICADOR</t>
        </is>
      </c>
      <c r="C47" s="203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  <c r="M47" s="203" t="n"/>
      <c r="N47" s="203" t="n"/>
      <c r="O47" s="176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393" customHeight="1" s="99">
      <c r="A48" s="1" t="n"/>
      <c r="B48" s="74" t="n"/>
      <c r="C48" s="53" t="n"/>
      <c r="D48" s="53" t="n"/>
      <c r="E48" s="53" t="n"/>
      <c r="F48" s="53" t="n"/>
      <c r="G48" s="53" t="n"/>
      <c r="H48" s="53" t="n"/>
      <c r="I48" s="54" t="n"/>
      <c r="J48" s="53" t="n"/>
      <c r="K48" s="53" t="n"/>
      <c r="L48" s="53" t="n"/>
      <c r="M48" s="53" t="n"/>
      <c r="N48" s="53" t="n"/>
      <c r="O48" s="54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9" customHeight="1" s="99">
      <c r="A49" s="1" t="n"/>
      <c r="B49" s="3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99">
      <c r="A50" s="1" t="n"/>
      <c r="B50" s="233" t="inlineStr">
        <is>
          <t>ANÁLISIS</t>
        </is>
      </c>
      <c r="C50" s="195" t="n"/>
      <c r="D50" s="195" t="n"/>
      <c r="E50" s="195" t="n"/>
      <c r="F50" s="195" t="n"/>
      <c r="G50" s="195" t="n"/>
      <c r="H50" s="195" t="n"/>
      <c r="I50" s="193" t="n"/>
      <c r="J50" s="233" t="inlineStr">
        <is>
          <t>ACCIONES DE MEJORA</t>
        </is>
      </c>
      <c r="K50" s="195" t="n"/>
      <c r="L50" s="195" t="n"/>
      <c r="M50" s="195" t="n"/>
      <c r="N50" s="195" t="n"/>
      <c r="O50" s="193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5.25" customHeight="1" s="99">
      <c r="A51" s="1" t="n"/>
      <c r="B51" s="206" t="n"/>
      <c r="C51" s="195" t="n"/>
      <c r="D51" s="195" t="n"/>
      <c r="E51" s="195" t="n"/>
      <c r="F51" s="195" t="n"/>
      <c r="G51" s="195" t="n"/>
      <c r="H51" s="195" t="n"/>
      <c r="I51" s="193" t="n"/>
      <c r="J51" s="206" t="n"/>
      <c r="K51" s="195" t="n"/>
      <c r="L51" s="195" t="n"/>
      <c r="M51" s="195" t="n"/>
      <c r="N51" s="195" t="n"/>
      <c r="O51" s="193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5.25" customHeight="1" s="99">
      <c r="A52" s="1" t="n"/>
      <c r="B52" s="206" t="n"/>
      <c r="C52" s="195" t="n"/>
      <c r="D52" s="195" t="n"/>
      <c r="E52" s="195" t="n"/>
      <c r="F52" s="195" t="n"/>
      <c r="G52" s="195" t="n"/>
      <c r="H52" s="195" t="n"/>
      <c r="I52" s="193" t="n"/>
      <c r="J52" s="206" t="n"/>
      <c r="K52" s="195" t="n"/>
      <c r="L52" s="195" t="n"/>
      <c r="M52" s="195" t="n"/>
      <c r="N52" s="195" t="n"/>
      <c r="O52" s="19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5.25" customHeight="1" s="99">
      <c r="A53" s="1" t="n"/>
      <c r="B53" s="206" t="n"/>
      <c r="C53" s="195" t="n"/>
      <c r="D53" s="195" t="n"/>
      <c r="E53" s="195" t="n"/>
      <c r="F53" s="195" t="n"/>
      <c r="G53" s="195" t="n"/>
      <c r="H53" s="195" t="n"/>
      <c r="I53" s="193" t="n"/>
      <c r="J53" s="206" t="n"/>
      <c r="K53" s="195" t="n"/>
      <c r="L53" s="195" t="n"/>
      <c r="M53" s="195" t="n"/>
      <c r="N53" s="195" t="n"/>
      <c r="O53" s="193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5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5.25" customHeight="1" s="99">
      <c r="A55" s="1" t="n"/>
      <c r="B55" s="206" t="n"/>
      <c r="C55" s="195" t="n"/>
      <c r="D55" s="195" t="n"/>
      <c r="E55" s="195" t="n"/>
      <c r="F55" s="195" t="n"/>
      <c r="G55" s="195" t="n"/>
      <c r="H55" s="195" t="n"/>
      <c r="I55" s="193" t="n"/>
      <c r="J55" s="206" t="n"/>
      <c r="K55" s="195" t="n"/>
      <c r="L55" s="195" t="n"/>
      <c r="M55" s="195" t="n"/>
      <c r="N55" s="195" t="n"/>
      <c r="O55" s="193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5.25" customHeight="1" s="99">
      <c r="A56" s="1" t="n"/>
      <c r="B56" s="206" t="n"/>
      <c r="C56" s="195" t="n"/>
      <c r="D56" s="195" t="n"/>
      <c r="E56" s="195" t="n"/>
      <c r="F56" s="195" t="n"/>
      <c r="G56" s="195" t="n"/>
      <c r="H56" s="195" t="n"/>
      <c r="I56" s="193" t="n"/>
      <c r="J56" s="206" t="n"/>
      <c r="K56" s="195" t="n"/>
      <c r="L56" s="195" t="n"/>
      <c r="M56" s="195" t="n"/>
      <c r="N56" s="195" t="n"/>
      <c r="O56" s="193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5.25" customHeight="1" s="99">
      <c r="A57" s="1" t="n"/>
      <c r="B57" s="206" t="n"/>
      <c r="C57" s="195" t="n"/>
      <c r="D57" s="195" t="n"/>
      <c r="E57" s="195" t="n"/>
      <c r="F57" s="195" t="n"/>
      <c r="G57" s="195" t="n"/>
      <c r="H57" s="195" t="n"/>
      <c r="I57" s="193" t="n"/>
      <c r="J57" s="206" t="n"/>
      <c r="K57" s="195" t="n"/>
      <c r="L57" s="195" t="n"/>
      <c r="M57" s="195" t="n"/>
      <c r="N57" s="195" t="n"/>
      <c r="O57" s="19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99">
      <c r="A58" s="1" t="n"/>
      <c r="B58" s="3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99">
      <c r="A59" s="1" t="n"/>
      <c r="B59" s="3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99">
      <c r="A60" s="1" t="n"/>
      <c r="B60" s="3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3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3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3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3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3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3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3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3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3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3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3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3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3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3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3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3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3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3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3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3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3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3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3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3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3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3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3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3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3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3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3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3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3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3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3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3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3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3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3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3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3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3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3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3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3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3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3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3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3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3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3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3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3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3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3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3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3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3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3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3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3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3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3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3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3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3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3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3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3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3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3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3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3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3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3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3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3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3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3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3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3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3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3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3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3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3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3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3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3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3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3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3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3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3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3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3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3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3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3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3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3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3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3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3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3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3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3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3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3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3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3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3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3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3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3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3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3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3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3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3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3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3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3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3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3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3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3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3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3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3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3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3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3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3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3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3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3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3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3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3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3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3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3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3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3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3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3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3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3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3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3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3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3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3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3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3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3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3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3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3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3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3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3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3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3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3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3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3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3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3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3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3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3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3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3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3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3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3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3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3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3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3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3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3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3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3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3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3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3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3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3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3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3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3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3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3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3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3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3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3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3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3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3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3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3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3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3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3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3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3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3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3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3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3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3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3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3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3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3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3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3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3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3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3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3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3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3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3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3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3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3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3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3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3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3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3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3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3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3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3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3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3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3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3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3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3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3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3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3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3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3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3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3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3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3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3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3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3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3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3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3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3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3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3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3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3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3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3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3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3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3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3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3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3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3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3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3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3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3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3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3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3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3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3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3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3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3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3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3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3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3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3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3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3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3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3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3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3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3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3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3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3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3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3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3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3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3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3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3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3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3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3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3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3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3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3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3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3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3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3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3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3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3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3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3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3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3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3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3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3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3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3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3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3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3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3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3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3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3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3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3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3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3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3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3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3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3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3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3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3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3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3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3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3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3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3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3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3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3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3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3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3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3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3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3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3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3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3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3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3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3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3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3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3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3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3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3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3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3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3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3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3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3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3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3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3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3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3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3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3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3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3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3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3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3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3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3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3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3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3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3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3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3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3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3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3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3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3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3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3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3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3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3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3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3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3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3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3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3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3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3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3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3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3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3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3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3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3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3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3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3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3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3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3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3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3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3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3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3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3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3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3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3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3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3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3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3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3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3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3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3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3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3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3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3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3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3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3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3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3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3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3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3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3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3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3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3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3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3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3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3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3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3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3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3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3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3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3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3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3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3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3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3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3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3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3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3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3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3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3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3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3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3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3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3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3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3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3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3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3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3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3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3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3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3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3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3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3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3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3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3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3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3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3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3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3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3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3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3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3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3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3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3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3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3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3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3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3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3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3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3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3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3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3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3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3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3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3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3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3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3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3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3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3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3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3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3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3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3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3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3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3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3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3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3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3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3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3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3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3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3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3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3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3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3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3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3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3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3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3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3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3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3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3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3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3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3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3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3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3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3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3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3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3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3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3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3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3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3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3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3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3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3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3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3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3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3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3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3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3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3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3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3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3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3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3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3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3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3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3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3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3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3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3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3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3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3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3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3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3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3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3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3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3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3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3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3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3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3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3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3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3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3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3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3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3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3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3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3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3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3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3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3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3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3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3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3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3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3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3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3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3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3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3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3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3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3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3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3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3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3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3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3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3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3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3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3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3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3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3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3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3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3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3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3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3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3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3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3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3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3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3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3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3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3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3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3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3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3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3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3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3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3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3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3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3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3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3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3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3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3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3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3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3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3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3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3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3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3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3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3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3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3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3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3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3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3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3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3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3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3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3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3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3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3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3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3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3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3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3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3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3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3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3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3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3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3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3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3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3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3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3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3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3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3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3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3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3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3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3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3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3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3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3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3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3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3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3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3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3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3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3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3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3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3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3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3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3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3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3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3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3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3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3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3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3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3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3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3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3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3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3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3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3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3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3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3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3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3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3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3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3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3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3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3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3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3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3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3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3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3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3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3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3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3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3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3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3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3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3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3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3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3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3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3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3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3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3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3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3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3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3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3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3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3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3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3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3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3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3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3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3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3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3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3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3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3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3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3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3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3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3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3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3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3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3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3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3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3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3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3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3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3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3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3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3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3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3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3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3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3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3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3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3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3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3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3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3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3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3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3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3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3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3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3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3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3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3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3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3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3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3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3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3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3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3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3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3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3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3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3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3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3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3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3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3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3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3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3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3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3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3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3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3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3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3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3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3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3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3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3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3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3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3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3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3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3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3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3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3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3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3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3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3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3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3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3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3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3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3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3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4">
    <mergeCell ref="B13:C14"/>
    <mergeCell ref="B16:C16"/>
    <mergeCell ref="J53:O53"/>
    <mergeCell ref="D4:M4"/>
    <mergeCell ref="D11:O11"/>
    <mergeCell ref="B47:O47"/>
    <mergeCell ref="B54:I54"/>
    <mergeCell ref="B7:O7"/>
    <mergeCell ref="J55:O55"/>
    <mergeCell ref="B31:O31"/>
    <mergeCell ref="B18:C18"/>
    <mergeCell ref="D17:O17"/>
    <mergeCell ref="B22:O22"/>
    <mergeCell ref="D2:M3"/>
    <mergeCell ref="B12:C12"/>
    <mergeCell ref="B56:I56"/>
    <mergeCell ref="J54:O54"/>
    <mergeCell ref="B52:I52"/>
    <mergeCell ref="B21:O21"/>
    <mergeCell ref="B11:C11"/>
    <mergeCell ref="B39:O39"/>
    <mergeCell ref="B2:C4"/>
    <mergeCell ref="D18:O18"/>
    <mergeCell ref="J56:O56"/>
    <mergeCell ref="B17:C17"/>
    <mergeCell ref="D9:O9"/>
    <mergeCell ref="B23:O23"/>
    <mergeCell ref="B57:I57"/>
    <mergeCell ref="J50:O50"/>
    <mergeCell ref="B8:O8"/>
    <mergeCell ref="B53:I53"/>
    <mergeCell ref="J51:O51"/>
    <mergeCell ref="D15:O15"/>
    <mergeCell ref="B19:C19"/>
    <mergeCell ref="B10:C10"/>
    <mergeCell ref="J52:O52"/>
    <mergeCell ref="B9:C9"/>
    <mergeCell ref="D20:O20"/>
    <mergeCell ref="B6:C6"/>
    <mergeCell ref="D12:N12"/>
    <mergeCell ref="D10:O10"/>
    <mergeCell ref="B15:C15"/>
    <mergeCell ref="D19:O19"/>
    <mergeCell ref="J57:O57"/>
    <mergeCell ref="B55:I55"/>
    <mergeCell ref="B51:I51"/>
    <mergeCell ref="B30:O30"/>
    <mergeCell ref="B20:C20"/>
    <mergeCell ref="N2:O3"/>
    <mergeCell ref="B5:O5"/>
    <mergeCell ref="D16:M16"/>
    <mergeCell ref="B50:I50"/>
    <mergeCell ref="N4:O4"/>
    <mergeCell ref="D6:O6"/>
  </mergeCells>
  <conditionalFormatting sqref="C27:O27">
    <cfRule type="cellIs" priority="1" operator="greaterThan" dxfId="1">
      <formula>C29</formula>
    </cfRule>
    <cfRule type="cellIs" priority="2" operator="lessThanOrEqual" dxfId="0">
      <formula>C29</formula>
    </cfRule>
  </conditionalFormatting>
  <conditionalFormatting sqref="C35:O35">
    <cfRule type="cellIs" priority="3" operator="greaterThan" dxfId="1">
      <formula>C37</formula>
    </cfRule>
    <cfRule type="cellIs" priority="4" operator="lessThanOrEqual" dxfId="0">
      <formula>C37</formula>
    </cfRule>
  </conditionalFormatting>
  <conditionalFormatting sqref="C43:O43">
    <cfRule type="cellIs" priority="5" operator="greaterThan" dxfId="1">
      <formula>C45</formula>
    </cfRule>
    <cfRule type="cellIs" priority="6" operator="lessThanOrEqual" dxfId="0">
      <formula>C45</formula>
    </cfRule>
  </conditionalFormatting>
  <pageMargins left="0.7" right="0.7" top="0.75" bottom="0.75" header="0" footer="0"/>
  <pageSetup orientation="portrait"/>
  <rowBreaks count="1" manualBreakCount="1">
    <brk id="49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Z999"/>
  <sheetViews>
    <sheetView showGridLines="0" workbookViewId="0">
      <selection activeCell="A6" sqref="A6:XFD6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1.44140625" customWidth="1" style="99" min="4" max="4"/>
    <col width="9.44140625" customWidth="1" style="99" min="5" max="5"/>
    <col width="13.33203125" customWidth="1" style="99" min="6" max="6"/>
    <col width="8.33203125" customWidth="1" style="99" min="7" max="9"/>
    <col width="11.109375" customWidth="1" style="99" min="10" max="10"/>
    <col width="15.109375" customWidth="1" style="99" min="11" max="11"/>
    <col width="14.33203125" customWidth="1" style="99" min="12" max="12"/>
    <col width="14.5546875" customWidth="1" style="99" min="13" max="13"/>
    <col width="13.441406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37" t="inlineStr">
        <is>
          <t>OBJETIVO:</t>
        </is>
      </c>
      <c r="C6" s="193" t="n"/>
      <c r="D6" s="194" t="inlineStr">
        <is>
          <t>Establecer la prevalencia de la enfermedad laboral originada en la empresa LABORATORIOS LT.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37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Prevalencia de la Enfermedad Laboral (EL)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META:</t>
        </is>
      </c>
      <c r="C13" s="176" t="n"/>
      <c r="D13" s="75" t="n">
        <v>0</v>
      </c>
      <c r="E13" s="76" t="inlineStr">
        <is>
          <t>Casos de EL</t>
        </is>
      </c>
      <c r="F13" s="77" t="n"/>
      <c r="G13" s="78" t="n">
        <v>1</v>
      </c>
      <c r="H13" s="79" t="inlineStr">
        <is>
          <t>CUMPLE</t>
        </is>
      </c>
      <c r="I13" s="80" t="n"/>
      <c r="J13" s="76" t="n"/>
      <c r="K13" s="76" t="n"/>
      <c r="L13" s="34" t="n"/>
      <c r="M13" s="34" t="n"/>
      <c r="N13" s="34" t="n"/>
      <c r="O13" s="35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75" t="inlineStr">
        <is>
          <t xml:space="preserve">&gt;1 </t>
        </is>
      </c>
      <c r="E14" s="76" t="inlineStr">
        <is>
          <t>Casos de EL</t>
        </is>
      </c>
      <c r="F14" s="77" t="n"/>
      <c r="G14" s="81" t="n">
        <v>0</v>
      </c>
      <c r="H14" s="82" t="inlineStr">
        <is>
          <t>NO CUMPLE</t>
        </is>
      </c>
      <c r="I14" s="83" t="n"/>
      <c r="J14" s="84" t="n"/>
      <c r="K14" s="76" t="n"/>
      <c r="L14" s="36" t="n"/>
      <c r="M14" s="36" t="n"/>
      <c r="N14" s="36" t="n"/>
      <c r="O14" s="37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15" t="inlineStr">
        <is>
          <t>ORIGEN DE LA INFORMACIÓN:</t>
        </is>
      </c>
      <c r="C15" s="193" t="n"/>
      <c r="D15" s="227" t="inlineStr">
        <is>
          <t>Informes de Juntas de Calificación de EL, Informes de ARL.</t>
        </is>
      </c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3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 s="99">
      <c r="A16" s="1" t="n"/>
      <c r="B16" s="215" t="inlineStr">
        <is>
          <t>FORMULA:</t>
        </is>
      </c>
      <c r="C16" s="193" t="n"/>
      <c r="D16" s="228" t="inlineStr">
        <is>
          <t># casos nuevos y antiguos de EL en el periodo/Promedio total de trabajadores en el periodo * 100000</t>
        </is>
      </c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88" t="inlineStr">
        <is>
          <t>10n</t>
        </is>
      </c>
      <c r="O16" s="89" t="n">
        <v>100000</v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99">
      <c r="A17" s="1" t="n"/>
      <c r="B17" s="215" t="inlineStr">
        <is>
          <t>TÉCNICA ESTADÍSTICA:</t>
        </is>
      </c>
      <c r="C17" s="193" t="n"/>
      <c r="D17" s="214" t="inlineStr">
        <is>
          <t>Grafico de barras</t>
        </is>
      </c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99">
      <c r="A18" s="1" t="n"/>
      <c r="B18" s="215" t="inlineStr">
        <is>
          <t>FRECUENCIA:</t>
        </is>
      </c>
      <c r="C18" s="193" t="n"/>
      <c r="D18" s="227" t="inlineStr">
        <is>
          <t>Mensual</t>
        </is>
      </c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99">
      <c r="A19" s="1" t="n"/>
      <c r="B19" s="215" t="inlineStr">
        <is>
          <t>TENDENCIA:</t>
        </is>
      </c>
      <c r="C19" s="193" t="n"/>
      <c r="D19" s="214" t="inlineStr">
        <is>
          <t>Descendente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99">
      <c r="A20" s="1" t="n"/>
      <c r="B20" s="215" t="inlineStr">
        <is>
          <t>UNIDAD DE MEDIDA:</t>
        </is>
      </c>
      <c r="C20" s="193" t="n"/>
      <c r="D20" s="214" t="inlineStr">
        <is>
          <t>Índice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8.25" customHeight="1" s="99">
      <c r="A21" s="1" t="n"/>
      <c r="B21" s="190" t="n"/>
      <c r="O21" s="19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99">
      <c r="A22" s="1" t="n"/>
      <c r="B22" s="238" t="inlineStr">
        <is>
          <t>DATOS DE MEDICIÓN</t>
        </is>
      </c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99">
      <c r="A23" s="1" t="n"/>
      <c r="B23" s="230" t="inlineStr">
        <is>
          <t>AÑO 2023</t>
        </is>
      </c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99">
      <c r="A24" s="1" t="n"/>
      <c r="B24" s="40" t="inlineStr">
        <is>
          <t>PARÁMETROS</t>
        </is>
      </c>
      <c r="C24" s="40" t="inlineStr">
        <is>
          <t>ENERO</t>
        </is>
      </c>
      <c r="D24" s="40" t="inlineStr">
        <is>
          <t>FEBRERO</t>
        </is>
      </c>
      <c r="E24" s="40" t="inlineStr">
        <is>
          <t>MARZO</t>
        </is>
      </c>
      <c r="F24" s="40" t="inlineStr">
        <is>
          <t>ABRIL</t>
        </is>
      </c>
      <c r="G24" s="40" t="inlineStr">
        <is>
          <t>MAYO</t>
        </is>
      </c>
      <c r="H24" s="40" t="inlineStr">
        <is>
          <t>JUNIO</t>
        </is>
      </c>
      <c r="I24" s="40" t="inlineStr">
        <is>
          <t>JULIO</t>
        </is>
      </c>
      <c r="J24" s="40" t="inlineStr">
        <is>
          <t>AGOSTO</t>
        </is>
      </c>
      <c r="K24" s="40" t="inlineStr">
        <is>
          <t>SEPTIEMBRE</t>
        </is>
      </c>
      <c r="L24" s="40" t="inlineStr">
        <is>
          <t>OCTUBRE</t>
        </is>
      </c>
      <c r="M24" s="40" t="inlineStr">
        <is>
          <t>NOVIEMBRE</t>
        </is>
      </c>
      <c r="N24" s="40" t="inlineStr">
        <is>
          <t>DICIEMBRE</t>
        </is>
      </c>
      <c r="O24" s="40" t="inlineStr">
        <is>
          <t>TOTAL 2023</t>
        </is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99">
      <c r="A25" s="1" t="n"/>
      <c r="B25" s="41" t="inlineStr">
        <is>
          <t>Número casos antiguos EL</t>
        </is>
      </c>
      <c r="C25" s="15" t="n">
        <v>0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43">
        <f>SUM(C25:N25)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41" t="inlineStr">
        <is>
          <t>Número casos nuevos EL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43">
        <f>SUM(C26:N26)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71" t="inlineStr">
        <is>
          <t>Número de trabajadores</t>
        </is>
      </c>
      <c r="C27" s="85" t="n">
        <v>20</v>
      </c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43">
        <f>AVERAGE(C27:N27)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45" t="inlineStr">
        <is>
          <t>Indice de prevalencia</t>
        </is>
      </c>
      <c r="C28" s="42">
        <f>(C25+C26)/C27*$O$16</f>
        <v/>
      </c>
      <c r="D28" s="42">
        <f>(D25+D26)/D27*$O$16</f>
        <v/>
      </c>
      <c r="E28" s="42">
        <f>(E25+E26)/E27*$O$16</f>
        <v/>
      </c>
      <c r="F28" s="42">
        <f>(F25+F26)/F27*$O$16</f>
        <v/>
      </c>
      <c r="G28" s="42">
        <f>(G25+G26)/G27*$O$16</f>
        <v/>
      </c>
      <c r="H28" s="42">
        <f>(H25+H26)/H27*$O$16</f>
        <v/>
      </c>
      <c r="I28" s="42">
        <f>(I25+I26)/I27*$O$16</f>
        <v/>
      </c>
      <c r="J28" s="42">
        <f>(J25+J26)/J27*$O$16</f>
        <v/>
      </c>
      <c r="K28" s="42">
        <f>(K25+K26)/K27*$O$16</f>
        <v/>
      </c>
      <c r="L28" s="42">
        <f>(L25+L26)/L27*$O$16</f>
        <v/>
      </c>
      <c r="M28" s="42">
        <f>(M25+M26)/M27*$O$16</f>
        <v/>
      </c>
      <c r="N28" s="42">
        <f>(N25+N26)/N27*$O$16</f>
        <v/>
      </c>
      <c r="O28" s="42">
        <f>(O25+O26)/O27*$O$16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99">
      <c r="A29" s="1" t="n"/>
      <c r="B29" s="45" t="inlineStr">
        <is>
          <t>Meta</t>
        </is>
      </c>
      <c r="C29" s="86">
        <f>$D$13</f>
        <v/>
      </c>
      <c r="D29" s="86">
        <f>$D$13</f>
        <v/>
      </c>
      <c r="E29" s="86">
        <f>$D$13</f>
        <v/>
      </c>
      <c r="F29" s="86">
        <f>$D$13</f>
        <v/>
      </c>
      <c r="G29" s="86">
        <f>$D$13</f>
        <v/>
      </c>
      <c r="H29" s="86">
        <f>$D$13</f>
        <v/>
      </c>
      <c r="I29" s="86">
        <f>$D$13</f>
        <v/>
      </c>
      <c r="J29" s="86">
        <f>$D$13</f>
        <v/>
      </c>
      <c r="K29" s="86">
        <f>$D$13</f>
        <v/>
      </c>
      <c r="L29" s="86">
        <f>$D$13</f>
        <v/>
      </c>
      <c r="M29" s="86">
        <f>$D$13</f>
        <v/>
      </c>
      <c r="N29" s="86">
        <f>$D$13</f>
        <v/>
      </c>
      <c r="O29" s="86">
        <f>$D$13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99">
      <c r="A30" s="1" t="n"/>
      <c r="B30" s="45" t="inlineStr">
        <is>
          <t>Calificación</t>
        </is>
      </c>
      <c r="C30" s="87">
        <f>IF(C28&gt;0,0%,100%)</f>
        <v/>
      </c>
      <c r="D30" s="87">
        <f>IF(D28&gt;0,0%,100%)</f>
        <v/>
      </c>
      <c r="E30" s="87">
        <f>IF(E28&gt;0,0%,100%)</f>
        <v/>
      </c>
      <c r="F30" s="87">
        <f>IF(F28&gt;0,0%,100%)</f>
        <v/>
      </c>
      <c r="G30" s="87">
        <f>IF(G28&gt;0,0%,100%)</f>
        <v/>
      </c>
      <c r="H30" s="87">
        <f>IF(H28&gt;0,0%,100%)</f>
        <v/>
      </c>
      <c r="I30" s="87">
        <f>IF(I28&gt;0,0%,100%)</f>
        <v/>
      </c>
      <c r="J30" s="87">
        <f>IF(J28&gt;0,0%,100%)</f>
        <v/>
      </c>
      <c r="K30" s="87">
        <f>IF(K28&gt;0,0%,100%)</f>
        <v/>
      </c>
      <c r="L30" s="87">
        <f>IF(L28&gt;0,0%,100%)</f>
        <v/>
      </c>
      <c r="M30" s="87">
        <f>IF(M28&gt;0,0%,100%)</f>
        <v/>
      </c>
      <c r="N30" s="87">
        <f>IF(N28&gt;0,0%,100%)</f>
        <v/>
      </c>
      <c r="O30" s="87">
        <f>IF(O28&gt;0,0%,100%)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8.25" customHeight="1" s="99">
      <c r="A31" s="1" t="n"/>
      <c r="B31" s="231" t="n"/>
      <c r="O31" s="19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238" t="inlineStr">
        <is>
          <t>AÑO 2024</t>
        </is>
      </c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40" t="inlineStr">
        <is>
          <t>PARÁMETROS</t>
        </is>
      </c>
      <c r="C33" s="40" t="inlineStr">
        <is>
          <t>ENERO</t>
        </is>
      </c>
      <c r="D33" s="40" t="inlineStr">
        <is>
          <t>FEBRERO</t>
        </is>
      </c>
      <c r="E33" s="40" t="inlineStr">
        <is>
          <t>MARZO</t>
        </is>
      </c>
      <c r="F33" s="40" t="inlineStr">
        <is>
          <t>ABRIL</t>
        </is>
      </c>
      <c r="G33" s="40" t="inlineStr">
        <is>
          <t>MAYO</t>
        </is>
      </c>
      <c r="H33" s="40" t="inlineStr">
        <is>
          <t>JUNIO</t>
        </is>
      </c>
      <c r="I33" s="40" t="inlineStr">
        <is>
          <t>JULIO</t>
        </is>
      </c>
      <c r="J33" s="40" t="inlineStr">
        <is>
          <t>AGOSTO</t>
        </is>
      </c>
      <c r="K33" s="40" t="inlineStr">
        <is>
          <t>SEPTIEMBRE</t>
        </is>
      </c>
      <c r="L33" s="40" t="inlineStr">
        <is>
          <t>OCTUBRE</t>
        </is>
      </c>
      <c r="M33" s="40" t="inlineStr">
        <is>
          <t>NOVIEMBRE</t>
        </is>
      </c>
      <c r="N33" s="40" t="inlineStr">
        <is>
          <t>DICIEMBRE</t>
        </is>
      </c>
      <c r="O33" s="40" t="inlineStr">
        <is>
          <t>TOTAL 2024</t>
        </is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41" t="inlineStr">
        <is>
          <t>Número casos antiguos EL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43">
        <f>SUM(C34:N34)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41" t="inlineStr">
        <is>
          <t>Número casos nuevos EL</t>
        </is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43">
        <f>SUM(C35:N35)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99">
      <c r="A36" s="1" t="n"/>
      <c r="B36" s="45" t="inlineStr">
        <is>
          <t>Número de trabajadores</t>
        </is>
      </c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43">
        <f>AVERAGE(C36:N36)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45" t="inlineStr">
        <is>
          <t>Indice de prevalencia</t>
        </is>
      </c>
      <c r="C37" s="42">
        <f>(C34+C35)/C36*$O$16</f>
        <v/>
      </c>
      <c r="D37" s="42">
        <f>(D34+D35)/D36*$O$16</f>
        <v/>
      </c>
      <c r="E37" s="42">
        <f>(E34+E35)/E36*$O$16</f>
        <v/>
      </c>
      <c r="F37" s="42">
        <f>(F34+F35)/F36*$O$16</f>
        <v/>
      </c>
      <c r="G37" s="42">
        <f>(G34+G35)/G36*$O$16</f>
        <v/>
      </c>
      <c r="H37" s="42">
        <f>(H34+H35)/H36*$O$16</f>
        <v/>
      </c>
      <c r="I37" s="42">
        <f>(I34+I35)/I36*$O$16</f>
        <v/>
      </c>
      <c r="J37" s="42">
        <f>(J34+J35)/J36*$O$16</f>
        <v/>
      </c>
      <c r="K37" s="42">
        <f>(K34+K35)/K36*$O$16</f>
        <v/>
      </c>
      <c r="L37" s="42">
        <f>(L34+L35)/L36*$O$16</f>
        <v/>
      </c>
      <c r="M37" s="42">
        <f>(M34+M35)/M36*$O$16</f>
        <v/>
      </c>
      <c r="N37" s="42">
        <f>(N34+N35)/N36*$O$16</f>
        <v/>
      </c>
      <c r="O37" s="42">
        <f>(O34+O35)/O36*$O$16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99">
      <c r="A38" s="1" t="n"/>
      <c r="B38" s="45" t="inlineStr">
        <is>
          <t>Meta</t>
        </is>
      </c>
      <c r="C38" s="86">
        <f>$D$13</f>
        <v/>
      </c>
      <c r="D38" s="86">
        <f>$D$13</f>
        <v/>
      </c>
      <c r="E38" s="86">
        <f>$D$13</f>
        <v/>
      </c>
      <c r="F38" s="86">
        <f>$D$13</f>
        <v/>
      </c>
      <c r="G38" s="86">
        <f>$D$13</f>
        <v/>
      </c>
      <c r="H38" s="86">
        <f>$D$13</f>
        <v/>
      </c>
      <c r="I38" s="86">
        <f>$D$13</f>
        <v/>
      </c>
      <c r="J38" s="86">
        <f>$D$13</f>
        <v/>
      </c>
      <c r="K38" s="86">
        <f>$D$13</f>
        <v/>
      </c>
      <c r="L38" s="86">
        <f>$D$13</f>
        <v/>
      </c>
      <c r="M38" s="86">
        <f>$D$13</f>
        <v/>
      </c>
      <c r="N38" s="86">
        <f>$D$13</f>
        <v/>
      </c>
      <c r="O38" s="86">
        <f>$D$13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45" t="inlineStr">
        <is>
          <t>Calificación</t>
        </is>
      </c>
      <c r="C39" s="87">
        <f>IF(C37&gt;0,0%,100%)</f>
        <v/>
      </c>
      <c r="D39" s="87">
        <f>IF(D37&gt;0,0%,100%)</f>
        <v/>
      </c>
      <c r="E39" s="87">
        <f>IF(E37&gt;0,0%,100%)</f>
        <v/>
      </c>
      <c r="F39" s="87">
        <f>IF(F37&gt;0,0%,100%)</f>
        <v/>
      </c>
      <c r="G39" s="87">
        <f>IF(G37&gt;0,0%,100%)</f>
        <v/>
      </c>
      <c r="H39" s="87">
        <f>IF(H37&gt;0,0%,100%)</f>
        <v/>
      </c>
      <c r="I39" s="87">
        <f>IF(I37&gt;0,0%,100%)</f>
        <v/>
      </c>
      <c r="J39" s="87">
        <f>IF(J37&gt;0,0%,100%)</f>
        <v/>
      </c>
      <c r="K39" s="87">
        <f>IF(K37&gt;0,0%,100%)</f>
        <v/>
      </c>
      <c r="L39" s="87">
        <f>IF(L37&gt;0,0%,100%)</f>
        <v/>
      </c>
      <c r="M39" s="87">
        <f>IF(M37&gt;0,0%,100%)</f>
        <v/>
      </c>
      <c r="N39" s="87">
        <f>IF(N37&gt;0,0%,100%)</f>
        <v/>
      </c>
      <c r="O39" s="87">
        <f>IF(O37&gt;0,0%,100%)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8.25" customHeight="1" s="99">
      <c r="A40" s="1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238" t="inlineStr">
        <is>
          <t>AÑO 2025</t>
        </is>
      </c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40" t="inlineStr">
        <is>
          <t>PARÁMETROS</t>
        </is>
      </c>
      <c r="C42" s="50" t="inlineStr">
        <is>
          <t>ENERO</t>
        </is>
      </c>
      <c r="D42" s="50" t="inlineStr">
        <is>
          <t>FEBRERO</t>
        </is>
      </c>
      <c r="E42" s="50" t="inlineStr">
        <is>
          <t>MARZO</t>
        </is>
      </c>
      <c r="F42" s="50" t="inlineStr">
        <is>
          <t>ABRIL</t>
        </is>
      </c>
      <c r="G42" s="50" t="inlineStr">
        <is>
          <t>MAYO</t>
        </is>
      </c>
      <c r="H42" s="50" t="inlineStr">
        <is>
          <t>JUNIO</t>
        </is>
      </c>
      <c r="I42" s="50" t="inlineStr">
        <is>
          <t>JULIO</t>
        </is>
      </c>
      <c r="J42" s="50" t="inlineStr">
        <is>
          <t>AGOSTO</t>
        </is>
      </c>
      <c r="K42" s="50" t="inlineStr">
        <is>
          <t>SEPTIEMBRE</t>
        </is>
      </c>
      <c r="L42" s="50" t="inlineStr">
        <is>
          <t>OCTUBRE</t>
        </is>
      </c>
      <c r="M42" s="50" t="inlineStr">
        <is>
          <t>NOVIEMBRE</t>
        </is>
      </c>
      <c r="N42" s="50" t="inlineStr">
        <is>
          <t>DICIEMBRE</t>
        </is>
      </c>
      <c r="O42" s="50" t="inlineStr">
        <is>
          <t>TOTAL 2025</t>
        </is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41" t="inlineStr">
        <is>
          <t>Número casos antiguos EL</t>
        </is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43">
        <f>SUM(C43:N43)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41" t="inlineStr">
        <is>
          <t>Número casos nuevos EL</t>
        </is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43">
        <f>SUM(C44:N44)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5" t="inlineStr">
        <is>
          <t>Número de trabajadores</t>
        </is>
      </c>
      <c r="C45" s="15" t="n"/>
      <c r="D45" s="51" t="n"/>
      <c r="E45" s="15" t="n"/>
      <c r="F45" s="15" t="n"/>
      <c r="G45" s="15" t="n"/>
      <c r="H45" s="15" t="n"/>
      <c r="I45" s="15" t="n"/>
      <c r="J45" s="90" t="n"/>
      <c r="K45" s="90" t="n"/>
      <c r="L45" s="90" t="n"/>
      <c r="M45" s="90" t="n"/>
      <c r="N45" s="90" t="n"/>
      <c r="O45" s="4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99">
      <c r="A46" s="1" t="n"/>
      <c r="B46" s="45" t="inlineStr">
        <is>
          <t>Indice de prevalencia</t>
        </is>
      </c>
      <c r="C46" s="42">
        <f>(C43+C44)/C45*$O$16</f>
        <v/>
      </c>
      <c r="D46" s="42">
        <f>(D43+D44)/D45*$O$16</f>
        <v/>
      </c>
      <c r="E46" s="42">
        <f>(E43+E44)/E45*$O$16</f>
        <v/>
      </c>
      <c r="F46" s="42">
        <f>(F43+F44)/F45*$O$16</f>
        <v/>
      </c>
      <c r="G46" s="42">
        <f>(G43+G44)/G45*$O$16</f>
        <v/>
      </c>
      <c r="H46" s="42">
        <f>(H43+H44)/H45*$O$16</f>
        <v/>
      </c>
      <c r="I46" s="42">
        <f>(I43+I44)/I45*$O$16</f>
        <v/>
      </c>
      <c r="J46" s="42">
        <f>(J43+J44)/J45*$O$16</f>
        <v/>
      </c>
      <c r="K46" s="42">
        <f>(K43+K44)/K45*$O$16</f>
        <v/>
      </c>
      <c r="L46" s="42">
        <f>(L43+L44)/L45*$O$16</f>
        <v/>
      </c>
      <c r="M46" s="42">
        <f>(M43+M44)/M45*$O$16</f>
        <v/>
      </c>
      <c r="N46" s="42">
        <f>(N43+N44)/N45*$O$16</f>
        <v/>
      </c>
      <c r="O46" s="42">
        <f>(O43+O44)/O45*$O$16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99">
      <c r="A47" s="1" t="n"/>
      <c r="B47" s="45" t="inlineStr">
        <is>
          <t>Meta</t>
        </is>
      </c>
      <c r="C47" s="86">
        <f>$D$13</f>
        <v/>
      </c>
      <c r="D47" s="86">
        <f>$D$13</f>
        <v/>
      </c>
      <c r="E47" s="86">
        <f>$D$13</f>
        <v/>
      </c>
      <c r="F47" s="86">
        <f>$D$13</f>
        <v/>
      </c>
      <c r="G47" s="86">
        <f>$D$13</f>
        <v/>
      </c>
      <c r="H47" s="86">
        <f>$D$13</f>
        <v/>
      </c>
      <c r="I47" s="86">
        <f>$D$13</f>
        <v/>
      </c>
      <c r="J47" s="86">
        <f>$D$13</f>
        <v/>
      </c>
      <c r="K47" s="86">
        <f>$D$13</f>
        <v/>
      </c>
      <c r="L47" s="86">
        <f>$D$13</f>
        <v/>
      </c>
      <c r="M47" s="86">
        <f>$D$13</f>
        <v/>
      </c>
      <c r="N47" s="86">
        <f>$D$13</f>
        <v/>
      </c>
      <c r="O47" s="86">
        <f>$D$13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99">
      <c r="A48" s="1" t="n"/>
      <c r="B48" s="45" t="inlineStr">
        <is>
          <t>Calificación</t>
        </is>
      </c>
      <c r="C48" s="87">
        <f>IF(C46&gt;0,0%,100%)</f>
        <v/>
      </c>
      <c r="D48" s="87">
        <f>IF(D46&gt;0,0%,100%)</f>
        <v/>
      </c>
      <c r="E48" s="87">
        <f>IF(E46&gt;0,0%,100%)</f>
        <v/>
      </c>
      <c r="F48" s="87">
        <f>IF(F46&gt;0,0%,100%)</f>
        <v/>
      </c>
      <c r="G48" s="87">
        <f>IF(G46&gt;0,0%,100%)</f>
        <v/>
      </c>
      <c r="H48" s="87">
        <f>IF(H46&gt;0,0%,100%)</f>
        <v/>
      </c>
      <c r="I48" s="87">
        <f>IF(I46&gt;0,0%,100%)</f>
        <v/>
      </c>
      <c r="J48" s="87">
        <f>IF(J46&gt;0,0%,100%)</f>
        <v/>
      </c>
      <c r="K48" s="87">
        <f>IF(K46&gt;0,0%,100%)</f>
        <v/>
      </c>
      <c r="L48" s="87">
        <f>IF(L46&gt;0,0%,100%)</f>
        <v/>
      </c>
      <c r="M48" s="87">
        <f>IF(M46&gt;0,0%,100%)</f>
        <v/>
      </c>
      <c r="N48" s="87">
        <f>IF(N46&gt;0,0%,100%)</f>
        <v/>
      </c>
      <c r="O48" s="87">
        <f>IF(O46&gt;0,0%,100%)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0.5" customHeight="1" s="99">
      <c r="A49" s="1" t="n"/>
      <c r="B49" s="93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99">
      <c r="A50" s="1" t="n"/>
      <c r="B50" s="239" t="inlineStr">
        <is>
          <t>GRAFICA DEL INDICADOR</t>
        </is>
      </c>
      <c r="C50" s="203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  <c r="M50" s="203" t="n"/>
      <c r="N50" s="203" t="n"/>
      <c r="O50" s="176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93" customHeight="1" s="99">
      <c r="A51" s="1" t="n"/>
      <c r="B51" s="52" t="n"/>
      <c r="C51" s="53" t="n"/>
      <c r="D51" s="53" t="n"/>
      <c r="E51" s="53" t="n"/>
      <c r="F51" s="53" t="n"/>
      <c r="G51" s="53" t="n"/>
      <c r="H51" s="53" t="n"/>
      <c r="I51" s="54" t="n"/>
      <c r="J51" s="53" t="n"/>
      <c r="K51" s="53" t="n"/>
      <c r="L51" s="53" t="n"/>
      <c r="M51" s="53" t="n"/>
      <c r="N51" s="53" t="n"/>
      <c r="O51" s="54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9" customHeight="1" s="9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99">
      <c r="A53" s="1" t="n"/>
      <c r="B53" s="233" t="inlineStr">
        <is>
          <t>ANÁLISIS</t>
        </is>
      </c>
      <c r="C53" s="195" t="n"/>
      <c r="D53" s="195" t="n"/>
      <c r="E53" s="195" t="n"/>
      <c r="F53" s="195" t="n"/>
      <c r="G53" s="195" t="n"/>
      <c r="H53" s="195" t="n"/>
      <c r="I53" s="193" t="n"/>
      <c r="J53" s="233" t="inlineStr">
        <is>
          <t>ACCIONES DE MEJORA</t>
        </is>
      </c>
      <c r="K53" s="195" t="n"/>
      <c r="L53" s="195" t="n"/>
      <c r="M53" s="195" t="n"/>
      <c r="N53" s="195" t="n"/>
      <c r="O53" s="193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5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5.25" customHeight="1" s="99">
      <c r="A55" s="1" t="n"/>
      <c r="B55" s="206" t="n"/>
      <c r="C55" s="195" t="n"/>
      <c r="D55" s="195" t="n"/>
      <c r="E55" s="195" t="n"/>
      <c r="F55" s="195" t="n"/>
      <c r="G55" s="195" t="n"/>
      <c r="H55" s="195" t="n"/>
      <c r="I55" s="193" t="n"/>
      <c r="J55" s="206" t="n"/>
      <c r="K55" s="195" t="n"/>
      <c r="L55" s="195" t="n"/>
      <c r="M55" s="195" t="n"/>
      <c r="N55" s="195" t="n"/>
      <c r="O55" s="193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5.25" customHeight="1" s="99">
      <c r="A56" s="1" t="n"/>
      <c r="B56" s="206" t="n"/>
      <c r="C56" s="195" t="n"/>
      <c r="D56" s="195" t="n"/>
      <c r="E56" s="195" t="n"/>
      <c r="F56" s="195" t="n"/>
      <c r="G56" s="195" t="n"/>
      <c r="H56" s="195" t="n"/>
      <c r="I56" s="193" t="n"/>
      <c r="J56" s="206" t="n"/>
      <c r="K56" s="195" t="n"/>
      <c r="L56" s="195" t="n"/>
      <c r="M56" s="195" t="n"/>
      <c r="N56" s="195" t="n"/>
      <c r="O56" s="193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5.25" customHeight="1" s="99">
      <c r="A57" s="1" t="n"/>
      <c r="B57" s="206" t="n"/>
      <c r="C57" s="195" t="n"/>
      <c r="D57" s="195" t="n"/>
      <c r="E57" s="195" t="n"/>
      <c r="F57" s="195" t="n"/>
      <c r="G57" s="195" t="n"/>
      <c r="H57" s="195" t="n"/>
      <c r="I57" s="193" t="n"/>
      <c r="J57" s="206" t="n"/>
      <c r="K57" s="195" t="n"/>
      <c r="L57" s="195" t="n"/>
      <c r="M57" s="195" t="n"/>
      <c r="N57" s="195" t="n"/>
      <c r="O57" s="19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5.25" customHeight="1" s="99">
      <c r="A58" s="1" t="n"/>
      <c r="B58" s="206" t="n"/>
      <c r="C58" s="195" t="n"/>
      <c r="D58" s="195" t="n"/>
      <c r="E58" s="195" t="n"/>
      <c r="F58" s="195" t="n"/>
      <c r="G58" s="195" t="n"/>
      <c r="H58" s="195" t="n"/>
      <c r="I58" s="193" t="n"/>
      <c r="J58" s="206" t="n"/>
      <c r="K58" s="195" t="n"/>
      <c r="L58" s="195" t="n"/>
      <c r="M58" s="195" t="n"/>
      <c r="N58" s="195" t="n"/>
      <c r="O58" s="193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35.25" customHeight="1" s="99">
      <c r="A59" s="1" t="n"/>
      <c r="B59" s="206" t="n"/>
      <c r="C59" s="195" t="n"/>
      <c r="D59" s="195" t="n"/>
      <c r="E59" s="195" t="n"/>
      <c r="F59" s="195" t="n"/>
      <c r="G59" s="195" t="n"/>
      <c r="H59" s="195" t="n"/>
      <c r="I59" s="193" t="n"/>
      <c r="J59" s="206" t="n"/>
      <c r="K59" s="195" t="n"/>
      <c r="L59" s="195" t="n"/>
      <c r="M59" s="195" t="n"/>
      <c r="N59" s="195" t="n"/>
      <c r="O59" s="19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35.25" customHeight="1" s="99">
      <c r="A60" s="1" t="n"/>
      <c r="B60" s="206" t="n"/>
      <c r="C60" s="195" t="n"/>
      <c r="D60" s="195" t="n"/>
      <c r="E60" s="195" t="n"/>
      <c r="F60" s="195" t="n"/>
      <c r="G60" s="195" t="n"/>
      <c r="H60" s="195" t="n"/>
      <c r="I60" s="193" t="n"/>
      <c r="J60" s="206" t="n"/>
      <c r="K60" s="195" t="n"/>
      <c r="L60" s="195" t="n"/>
      <c r="M60" s="195" t="n"/>
      <c r="N60" s="195" t="n"/>
      <c r="O60" s="19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4">
    <mergeCell ref="B41:O41"/>
    <mergeCell ref="J53:O53"/>
    <mergeCell ref="B16:C16"/>
    <mergeCell ref="B13:C14"/>
    <mergeCell ref="D4:M4"/>
    <mergeCell ref="D11:O11"/>
    <mergeCell ref="B54:I54"/>
    <mergeCell ref="B7:O7"/>
    <mergeCell ref="B59:I59"/>
    <mergeCell ref="B50:O50"/>
    <mergeCell ref="J55:O55"/>
    <mergeCell ref="B31:O31"/>
    <mergeCell ref="B18:C18"/>
    <mergeCell ref="D17:O17"/>
    <mergeCell ref="B22:O22"/>
    <mergeCell ref="D2:M3"/>
    <mergeCell ref="B12:C12"/>
    <mergeCell ref="B56:I56"/>
    <mergeCell ref="J54:O54"/>
    <mergeCell ref="B58:I58"/>
    <mergeCell ref="B21:O21"/>
    <mergeCell ref="B11:C11"/>
    <mergeCell ref="B2:C4"/>
    <mergeCell ref="B60:I60"/>
    <mergeCell ref="D18:O18"/>
    <mergeCell ref="J56:O56"/>
    <mergeCell ref="B17:C17"/>
    <mergeCell ref="D9:O9"/>
    <mergeCell ref="B23:O23"/>
    <mergeCell ref="B57:I57"/>
    <mergeCell ref="B8:O8"/>
    <mergeCell ref="B53:I53"/>
    <mergeCell ref="D15:O15"/>
    <mergeCell ref="B19:C19"/>
    <mergeCell ref="B10:C10"/>
    <mergeCell ref="J58:O58"/>
    <mergeCell ref="B9:C9"/>
    <mergeCell ref="D20:O20"/>
    <mergeCell ref="B6:C6"/>
    <mergeCell ref="D12:N12"/>
    <mergeCell ref="D10:O10"/>
    <mergeCell ref="B15:C15"/>
    <mergeCell ref="D19:O19"/>
    <mergeCell ref="B55:I55"/>
    <mergeCell ref="J57:O57"/>
    <mergeCell ref="B20:C20"/>
    <mergeCell ref="J59:O59"/>
    <mergeCell ref="N2:O3"/>
    <mergeCell ref="J60:O60"/>
    <mergeCell ref="B5:O5"/>
    <mergeCell ref="D16:M16"/>
    <mergeCell ref="B32:O32"/>
    <mergeCell ref="N4:O4"/>
    <mergeCell ref="D6:O6"/>
  </mergeCells>
  <conditionalFormatting sqref="C28:O28">
    <cfRule type="cellIs" priority="1" operator="greaterThan" dxfId="1">
      <formula>C30</formula>
    </cfRule>
    <cfRule type="cellIs" priority="2" operator="lessThanOrEqual" dxfId="0">
      <formula>C30</formula>
    </cfRule>
  </conditionalFormatting>
  <conditionalFormatting sqref="C37:O37">
    <cfRule type="cellIs" priority="3" operator="greaterThan" dxfId="1">
      <formula>C39</formula>
    </cfRule>
    <cfRule type="cellIs" priority="4" operator="lessThanOrEqual" dxfId="0">
      <formula>C39</formula>
    </cfRule>
  </conditionalFormatting>
  <conditionalFormatting sqref="C46:O46">
    <cfRule type="cellIs" priority="5" operator="greaterThan" dxfId="1">
      <formula>C48</formula>
    </cfRule>
    <cfRule type="cellIs" priority="6" operator="lessThanOrEqual" dxfId="0">
      <formula>C48</formula>
    </cfRule>
  </conditionalFormatting>
  <pageMargins left="0.7" right="0.7" top="0.75" bottom="0.75" header="0" footer="0"/>
  <pageSetup orientation="portrait"/>
  <rowBreaks count="1" manualBreakCount="1">
    <brk id="52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/>
  </sheetPr>
  <dimension ref="A1:Z999"/>
  <sheetViews>
    <sheetView showGridLines="0" workbookViewId="0">
      <selection activeCell="A22" sqref="A22"/>
    </sheetView>
  </sheetViews>
  <sheetFormatPr baseColWidth="10" defaultColWidth="14.44140625" defaultRowHeight="15" customHeight="1"/>
  <cols>
    <col width="1.109375" customWidth="1" style="99" min="1" max="1"/>
    <col width="22.6640625" customWidth="1" style="99" min="2" max="2"/>
    <col width="13.109375" customWidth="1" style="99" min="3" max="3"/>
    <col width="11.33203125" customWidth="1" style="99" min="4" max="4"/>
    <col width="9.33203125" customWidth="1" style="99" min="5" max="5"/>
    <col width="13.109375" customWidth="1" style="99" min="6" max="6"/>
    <col width="8" customWidth="1" style="99" min="7" max="7"/>
    <col width="7.88671875" customWidth="1" style="99" min="8" max="8"/>
    <col width="7.6640625" customWidth="1" style="99" min="9" max="9"/>
    <col width="11" customWidth="1" style="99" min="10" max="10"/>
    <col width="15" customWidth="1" style="99" min="11" max="11"/>
    <col width="14.33203125" customWidth="1" style="99" min="12" max="12"/>
    <col width="14.5546875" customWidth="1" style="99" min="13" max="13"/>
    <col width="13.33203125" customWidth="1" style="99" min="14" max="14"/>
    <col width="21.109375" customWidth="1" style="99" min="15" max="15"/>
    <col width="11.33203125" customWidth="1" style="99" min="16" max="26"/>
  </cols>
  <sheetData>
    <row r="1" ht="7.5" customHeight="1" s="9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9">
      <c r="A2" s="1" t="n"/>
      <c r="B2" s="175" t="n"/>
      <c r="C2" s="176" t="n"/>
      <c r="D2" s="177" t="inlineStr">
        <is>
          <t>SISTEMA DE GESTIÓN DE SEGURIDAD Y SALUD EN EL TRABAJO</t>
        </is>
      </c>
      <c r="E2" s="178" t="n"/>
      <c r="F2" s="178" t="n"/>
      <c r="G2" s="178" t="n"/>
      <c r="H2" s="178" t="n"/>
      <c r="I2" s="178" t="n"/>
      <c r="J2" s="178" t="n"/>
      <c r="K2" s="178" t="n"/>
      <c r="L2" s="178" t="n"/>
      <c r="M2" s="179" t="n"/>
      <c r="N2" s="160" t="inlineStr">
        <is>
          <t>FECHA: 01/02/2026</t>
        </is>
      </c>
      <c r="O2" s="178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99">
      <c r="A3" s="1" t="n"/>
      <c r="B3" s="181" t="n"/>
      <c r="C3" s="182" t="n"/>
      <c r="D3" s="183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  <c r="N3" s="183" t="n"/>
      <c r="O3" s="184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8.25" customHeight="1" s="99">
      <c r="A4" s="1" t="n"/>
      <c r="B4" s="186" t="n"/>
      <c r="C4" s="187" t="n"/>
      <c r="D4" s="177" t="inlineStr">
        <is>
          <t xml:space="preserve">INDICADORES DE GESTIÓN DE SEGURIDAD Y SALUD EN EL TRABAJO </t>
        </is>
      </c>
      <c r="E4" s="188" t="n"/>
      <c r="F4" s="188" t="n"/>
      <c r="G4" s="188" t="n"/>
      <c r="H4" s="188" t="n"/>
      <c r="I4" s="188" t="n"/>
      <c r="J4" s="188" t="n"/>
      <c r="K4" s="188" t="n"/>
      <c r="L4" s="188" t="n"/>
      <c r="M4" s="189" t="n"/>
      <c r="N4" s="225" t="inlineStr">
        <is>
          <t>VERSIÓN: 1</t>
        </is>
      </c>
      <c r="O4" s="18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.75" customHeight="1" s="99">
      <c r="A5" s="1" t="n"/>
      <c r="B5" s="196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3" customHeight="1" s="99">
      <c r="A6" s="1" t="n"/>
      <c r="B6" s="237" t="inlineStr">
        <is>
          <t>OBJETIVO:</t>
        </is>
      </c>
      <c r="C6" s="193" t="n"/>
      <c r="D6" s="194" t="inlineStr">
        <is>
          <t>Establecer el ausentismo laboral en la empresa LABORATORIOS LT S.A.S.</t>
        </is>
      </c>
      <c r="E6" s="195" t="n"/>
      <c r="F6" s="195" t="n"/>
      <c r="G6" s="195" t="n"/>
      <c r="H6" s="195" t="n"/>
      <c r="I6" s="195" t="n"/>
      <c r="J6" s="195" t="n"/>
      <c r="K6" s="195" t="n"/>
      <c r="L6" s="195" t="n"/>
      <c r="M6" s="195" t="n"/>
      <c r="N6" s="195" t="n"/>
      <c r="O6" s="193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8.25" customHeight="1" s="99">
      <c r="A7" s="1" t="n"/>
      <c r="B7" s="19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99">
      <c r="A8" s="1" t="n"/>
      <c r="B8" s="237" t="inlineStr">
        <is>
          <t>ESTRUCTURA DEL INDICADOR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  <c r="L8" s="195" t="n"/>
      <c r="M8" s="195" t="n"/>
      <c r="N8" s="195" t="n"/>
      <c r="O8" s="19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99">
      <c r="A9" s="1" t="n"/>
      <c r="B9" s="215" t="inlineStr">
        <is>
          <t>NOMBRE DEL INDICADOR:</t>
        </is>
      </c>
      <c r="C9" s="193" t="n"/>
      <c r="D9" s="214" t="inlineStr">
        <is>
          <t>Ausentismo Laboral</t>
        </is>
      </c>
      <c r="E9" s="195" t="n"/>
      <c r="F9" s="195" t="n"/>
      <c r="G9" s="195" t="n"/>
      <c r="H9" s="195" t="n"/>
      <c r="I9" s="195" t="n"/>
      <c r="J9" s="195" t="n"/>
      <c r="K9" s="195" t="n"/>
      <c r="L9" s="195" t="n"/>
      <c r="M9" s="195" t="n"/>
      <c r="N9" s="195" t="n"/>
      <c r="O9" s="193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99">
      <c r="A10" s="1" t="n"/>
      <c r="B10" s="215" t="inlineStr">
        <is>
          <t>PROCESO:</t>
        </is>
      </c>
      <c r="C10" s="193" t="n"/>
      <c r="D10" s="29" t="inlineStr">
        <is>
          <t>Seguridad y Salud en el Trabajo</t>
        </is>
      </c>
      <c r="E10" s="195" t="n"/>
      <c r="F10" s="195" t="n"/>
      <c r="G10" s="195" t="n"/>
      <c r="H10" s="195" t="n"/>
      <c r="I10" s="195" t="n"/>
      <c r="J10" s="195" t="n"/>
      <c r="K10" s="195" t="n"/>
      <c r="L10" s="195" t="n"/>
      <c r="M10" s="195" t="n"/>
      <c r="N10" s="195" t="n"/>
      <c r="O10" s="193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99">
      <c r="A11" s="1" t="n"/>
      <c r="B11" s="215" t="inlineStr">
        <is>
          <t>RESPONSABLE:</t>
        </is>
      </c>
      <c r="C11" s="193" t="n"/>
      <c r="D11" s="214" t="inlineStr">
        <is>
          <t>Responsable SG-SST</t>
        </is>
      </c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3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99">
      <c r="A12" s="1" t="n"/>
      <c r="B12" s="215" t="inlineStr">
        <is>
          <t>CONOCER EL RESULTADO:</t>
        </is>
      </c>
      <c r="C12" s="193" t="n"/>
      <c r="D12" s="216" t="inlineStr">
        <is>
          <t>COPASST, Gerencia, Responsable SG-SST</t>
        </is>
      </c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8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99">
      <c r="A13" s="1" t="n"/>
      <c r="B13" s="226" t="inlineStr">
        <is>
          <t>RANGOS DE MEDICIÓN Y META:</t>
        </is>
      </c>
      <c r="C13" s="176" t="n"/>
      <c r="D13" s="30" t="inlineStr">
        <is>
          <t>&lt;=</t>
        </is>
      </c>
      <c r="E13" s="94" t="n">
        <v>0.01</v>
      </c>
      <c r="F13" s="32" t="inlineStr">
        <is>
          <t>CUMPLE</t>
        </is>
      </c>
      <c r="G13" s="34" t="n"/>
      <c r="H13" s="34" t="n"/>
      <c r="I13" s="34" t="n"/>
      <c r="J13" s="34" t="n"/>
      <c r="K13" s="34" t="n"/>
      <c r="L13" s="34" t="n"/>
      <c r="M13" s="34" t="n"/>
      <c r="N13" s="34" t="n"/>
      <c r="O13" s="35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99">
      <c r="A14" s="1" t="n"/>
      <c r="B14" s="186" t="n"/>
      <c r="C14" s="187" t="n"/>
      <c r="D14" s="30" t="inlineStr">
        <is>
          <t>&gt;</t>
        </is>
      </c>
      <c r="E14" s="95" t="n">
        <v>0.011</v>
      </c>
      <c r="F14" s="33" t="inlineStr">
        <is>
          <t>NO CUMPLE</t>
        </is>
      </c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99">
      <c r="A15" s="1" t="n"/>
      <c r="B15" s="215" t="inlineStr">
        <is>
          <t>ORIGEN DE LA INFORMACIÓN:</t>
        </is>
      </c>
      <c r="C15" s="193" t="n"/>
      <c r="D15" s="227" t="inlineStr">
        <is>
          <t>Caracterización de accidentes de trabajo, incapacidades de la EPS.</t>
        </is>
      </c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3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 s="99">
      <c r="A16" s="1" t="n"/>
      <c r="B16" s="215" t="inlineStr">
        <is>
          <t>FORMULA:</t>
        </is>
      </c>
      <c r="C16" s="193" t="n"/>
      <c r="D16" s="234" t="inlineStr">
        <is>
          <t># días asuncia incapacidad laboral+#días ausencia incapacidad común/número de días programados</t>
        </is>
      </c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99">
      <c r="A17" s="1" t="n"/>
      <c r="B17" s="215" t="inlineStr">
        <is>
          <t>TÉCNICA ESTADÍSTICA:</t>
        </is>
      </c>
      <c r="C17" s="193" t="n"/>
      <c r="D17" s="214" t="inlineStr">
        <is>
          <t>Grafico de barras</t>
        </is>
      </c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99">
      <c r="A18" s="1" t="n"/>
      <c r="B18" s="215" t="inlineStr">
        <is>
          <t>FRECUENCIA:</t>
        </is>
      </c>
      <c r="C18" s="193" t="n"/>
      <c r="D18" s="227" t="inlineStr">
        <is>
          <t>Mensual</t>
        </is>
      </c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99">
      <c r="A19" s="1" t="n"/>
      <c r="B19" s="215" t="inlineStr">
        <is>
          <t>TENDENCIA:</t>
        </is>
      </c>
      <c r="C19" s="193" t="n"/>
      <c r="D19" s="214" t="inlineStr">
        <is>
          <t>Descendente</t>
        </is>
      </c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99">
      <c r="A20" s="1" t="n"/>
      <c r="B20" s="215" t="inlineStr">
        <is>
          <t>UNIDAD DE MEDIDA:</t>
        </is>
      </c>
      <c r="C20" s="193" t="n"/>
      <c r="D20" s="214" t="inlineStr">
        <is>
          <t>%</t>
        </is>
      </c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8.25" customHeight="1" s="99">
      <c r="A21" s="1" t="n"/>
      <c r="B21" s="190" t="n"/>
      <c r="O21" s="19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99">
      <c r="A22" s="1" t="n"/>
      <c r="B22" s="240" t="inlineStr">
        <is>
          <t>DATOS DE MEDICIÓN</t>
        </is>
      </c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99">
      <c r="A23" s="1" t="n"/>
      <c r="B23" s="238" t="inlineStr">
        <is>
          <t>AÑO 2023</t>
        </is>
      </c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99">
      <c r="A24" s="1" t="n"/>
      <c r="B24" s="40" t="inlineStr">
        <is>
          <t>DESCRIPTORES</t>
        </is>
      </c>
      <c r="C24" s="40" t="inlineStr">
        <is>
          <t>ENERO</t>
        </is>
      </c>
      <c r="D24" s="40" t="inlineStr">
        <is>
          <t>FEBRERO</t>
        </is>
      </c>
      <c r="E24" s="40" t="inlineStr">
        <is>
          <t>MARZO</t>
        </is>
      </c>
      <c r="F24" s="40" t="inlineStr">
        <is>
          <t>ABRIL</t>
        </is>
      </c>
      <c r="G24" s="40" t="inlineStr">
        <is>
          <t>MAYO</t>
        </is>
      </c>
      <c r="H24" s="40" t="inlineStr">
        <is>
          <t>JUNIO</t>
        </is>
      </c>
      <c r="I24" s="40" t="inlineStr">
        <is>
          <t>JULIO</t>
        </is>
      </c>
      <c r="J24" s="40" t="inlineStr">
        <is>
          <t>AGOSTO</t>
        </is>
      </c>
      <c r="K24" s="40" t="inlineStr">
        <is>
          <t>SEPTIEMBRE</t>
        </is>
      </c>
      <c r="L24" s="40" t="inlineStr">
        <is>
          <t>OCTUBRE</t>
        </is>
      </c>
      <c r="M24" s="40" t="inlineStr">
        <is>
          <t>NOVIEMBRE</t>
        </is>
      </c>
      <c r="N24" s="40" t="inlineStr">
        <is>
          <t>DICIEMBRE</t>
        </is>
      </c>
      <c r="O24" s="40" t="inlineStr">
        <is>
          <t>TOTAL 2023</t>
        </is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99">
      <c r="A25" s="1" t="n"/>
      <c r="B25" s="41" t="inlineStr">
        <is>
          <t>Días ausencia EL/AT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42">
        <f>SUM(C25:N25)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99">
      <c r="A26" s="1" t="n"/>
      <c r="B26" s="41" t="inlineStr">
        <is>
          <t>Días ausencia EC</t>
        </is>
      </c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2">
        <f>SUM(C26:N26)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99">
      <c r="A27" s="1" t="n"/>
      <c r="B27" s="41" t="inlineStr">
        <is>
          <t>Días programados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2" t="n"/>
      <c r="O27" s="42">
        <f>AVERAGE(C27:N27)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99">
      <c r="A28" s="1" t="n"/>
      <c r="B28" s="41" t="inlineStr">
        <is>
          <t>Total trabajadores</t>
        </is>
      </c>
      <c r="C28" s="85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15" t="n"/>
      <c r="M28" s="15" t="n"/>
      <c r="N28" s="15" t="n"/>
      <c r="O28" s="42">
        <f>AVERAGE(C28:N28)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99">
      <c r="A29" s="1" t="n"/>
      <c r="B29" s="45" t="inlineStr">
        <is>
          <t>Ausentismo</t>
        </is>
      </c>
      <c r="C29" s="96">
        <f>(C25+C26)/(C27*C28)</f>
        <v/>
      </c>
      <c r="D29" s="96">
        <f>(D25+D26)/(D27*D28)</f>
        <v/>
      </c>
      <c r="E29" s="96">
        <f>(E25+E26)/(E27*E28)</f>
        <v/>
      </c>
      <c r="F29" s="96">
        <f>(F25+F26)/(F27*F28)</f>
        <v/>
      </c>
      <c r="G29" s="96">
        <f>(G25+G26)/(G27*G28)</f>
        <v/>
      </c>
      <c r="H29" s="96">
        <f>(H25+H26)/(H27*H28)</f>
        <v/>
      </c>
      <c r="I29" s="96">
        <f>(I25+I26)/(I27*I28)</f>
        <v/>
      </c>
      <c r="J29" s="96">
        <f>(J25+J26)/(J27*J28)</f>
        <v/>
      </c>
      <c r="K29" s="96">
        <f>(K25+K26)/(K27*K28)</f>
        <v/>
      </c>
      <c r="L29" s="96">
        <f>(L25+L26)/(L27*L28)</f>
        <v/>
      </c>
      <c r="M29" s="96">
        <f>(M25+M26)/(M27*M28)</f>
        <v/>
      </c>
      <c r="N29" s="96">
        <f>(N25+N26)/(N27*N28)</f>
        <v/>
      </c>
      <c r="O29" s="96">
        <f>(O25+O26)/(O27*O28)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99">
      <c r="A30" s="1" t="n"/>
      <c r="B30" s="45" t="inlineStr">
        <is>
          <t>Meta</t>
        </is>
      </c>
      <c r="C30" s="87">
        <f>$E$13</f>
        <v/>
      </c>
      <c r="D30" s="87">
        <f>$E$13</f>
        <v/>
      </c>
      <c r="E30" s="87">
        <f>$E$13</f>
        <v/>
      </c>
      <c r="F30" s="87">
        <f>$E$13</f>
        <v/>
      </c>
      <c r="G30" s="87">
        <f>$E$13</f>
        <v/>
      </c>
      <c r="H30" s="87">
        <f>$E$13</f>
        <v/>
      </c>
      <c r="I30" s="87">
        <f>$E$13</f>
        <v/>
      </c>
      <c r="J30" s="87">
        <f>$E$13</f>
        <v/>
      </c>
      <c r="K30" s="87">
        <f>$E$13</f>
        <v/>
      </c>
      <c r="L30" s="87">
        <f>$E$13</f>
        <v/>
      </c>
      <c r="M30" s="87">
        <f>$E$13</f>
        <v/>
      </c>
      <c r="N30" s="87">
        <f>$E$13</f>
        <v/>
      </c>
      <c r="O30" s="87">
        <f>$E$13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8.25" customHeight="1" s="99">
      <c r="A31" s="1" t="n"/>
      <c r="B31" s="231" t="n"/>
      <c r="O31" s="19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99">
      <c r="A32" s="1" t="n"/>
      <c r="B32" s="238" t="inlineStr">
        <is>
          <t>AÑO 2024</t>
        </is>
      </c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99">
      <c r="A33" s="1" t="n"/>
      <c r="B33" s="40" t="inlineStr">
        <is>
          <t>DESCRIPTORES</t>
        </is>
      </c>
      <c r="C33" s="40" t="inlineStr">
        <is>
          <t>ENERO</t>
        </is>
      </c>
      <c r="D33" s="40" t="inlineStr">
        <is>
          <t>FEBRERO</t>
        </is>
      </c>
      <c r="E33" s="40" t="inlineStr">
        <is>
          <t>MARZO</t>
        </is>
      </c>
      <c r="F33" s="40" t="inlineStr">
        <is>
          <t>ABRIL</t>
        </is>
      </c>
      <c r="G33" s="40" t="inlineStr">
        <is>
          <t>MAYO</t>
        </is>
      </c>
      <c r="H33" s="40" t="inlineStr">
        <is>
          <t>JUNIO</t>
        </is>
      </c>
      <c r="I33" s="40" t="inlineStr">
        <is>
          <t>JULIO</t>
        </is>
      </c>
      <c r="J33" s="40" t="inlineStr">
        <is>
          <t>AGOSTO</t>
        </is>
      </c>
      <c r="K33" s="40" t="inlineStr">
        <is>
          <t>SEPTIEMBRE</t>
        </is>
      </c>
      <c r="L33" s="40" t="inlineStr">
        <is>
          <t>OCTUBRE</t>
        </is>
      </c>
      <c r="M33" s="40" t="inlineStr">
        <is>
          <t>NOVIEMBRE</t>
        </is>
      </c>
      <c r="N33" s="40" t="inlineStr">
        <is>
          <t>DICIEMBRE</t>
        </is>
      </c>
      <c r="O33" s="40" t="inlineStr">
        <is>
          <t>TOTAL 2024</t>
        </is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99">
      <c r="A34" s="1" t="n"/>
      <c r="B34" s="41" t="inlineStr">
        <is>
          <t>Días ausencia EL/AT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43" t="n"/>
      <c r="N34" s="15" t="n"/>
      <c r="O34" s="42">
        <f>SUM(C34:N34)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99">
      <c r="A35" s="1" t="n"/>
      <c r="B35" s="41" t="inlineStr">
        <is>
          <t>Días ausencia EC</t>
        </is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116" t="n"/>
      <c r="N35" s="43" t="n"/>
      <c r="O35" s="42">
        <f>SUM(C35:N35)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99">
      <c r="A36" s="1" t="n"/>
      <c r="B36" s="41" t="inlineStr">
        <is>
          <t>Días programados</t>
        </is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42">
        <f>AVERAGE(C36:N36)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99">
      <c r="A37" s="1" t="n"/>
      <c r="B37" s="41" t="inlineStr">
        <is>
          <t>Total trabajadores</t>
        </is>
      </c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15" t="n"/>
      <c r="M37" s="15" t="n"/>
      <c r="N37" s="15" t="n"/>
      <c r="O37" s="42">
        <f>AVERAGE(C37:N37)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99">
      <c r="A38" s="1" t="n"/>
      <c r="B38" s="45" t="inlineStr">
        <is>
          <t>Ausentismo</t>
        </is>
      </c>
      <c r="C38" s="96">
        <f>(C34+C35)/(C36*C37)</f>
        <v/>
      </c>
      <c r="D38" s="96">
        <f>(D34+D35)/(D36*D37)</f>
        <v/>
      </c>
      <c r="E38" s="96">
        <f>(E34+E35)/(E36*E37)</f>
        <v/>
      </c>
      <c r="F38" s="96">
        <f>(F34+F35)/(F36*F37)</f>
        <v/>
      </c>
      <c r="G38" s="96">
        <f>(G34+G35)/(G36*G37)</f>
        <v/>
      </c>
      <c r="H38" s="96">
        <f>(H34+H35)/(H36*H37)</f>
        <v/>
      </c>
      <c r="I38" s="96">
        <f>(I34+I35)/(I36*I37)</f>
        <v/>
      </c>
      <c r="J38" s="96">
        <f>(J34+J35)/(J36*J37)</f>
        <v/>
      </c>
      <c r="K38" s="96">
        <f>(K34+K35)/(K36*K37)</f>
        <v/>
      </c>
      <c r="L38" s="96">
        <f>(L34+L35)/(L36*L37)</f>
        <v/>
      </c>
      <c r="M38" s="96">
        <f>(M34+M35)/(M36*M37)</f>
        <v/>
      </c>
      <c r="N38" s="96">
        <f>(N34+N35)/(N36*N37)</f>
        <v/>
      </c>
      <c r="O38" s="96">
        <f>(O34+O35)/(O36*O37)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99">
      <c r="A39" s="1" t="n"/>
      <c r="B39" s="45" t="inlineStr">
        <is>
          <t>Meta</t>
        </is>
      </c>
      <c r="C39" s="87">
        <f>$E$13</f>
        <v/>
      </c>
      <c r="D39" s="87">
        <f>$E$13</f>
        <v/>
      </c>
      <c r="E39" s="87">
        <f>$E$13</f>
        <v/>
      </c>
      <c r="F39" s="87">
        <f>$E$13</f>
        <v/>
      </c>
      <c r="G39" s="87">
        <f>$E$13</f>
        <v/>
      </c>
      <c r="H39" s="87">
        <f>$E$13</f>
        <v/>
      </c>
      <c r="I39" s="87">
        <f>$E$13</f>
        <v/>
      </c>
      <c r="J39" s="87">
        <f>$E$13</f>
        <v/>
      </c>
      <c r="K39" s="87">
        <f>$E$13</f>
        <v/>
      </c>
      <c r="L39" s="87">
        <f>$E$13</f>
        <v/>
      </c>
      <c r="M39" s="87">
        <f>$E$13</f>
        <v/>
      </c>
      <c r="N39" s="87">
        <f>$E$13</f>
        <v/>
      </c>
      <c r="O39" s="87">
        <f>$E$13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8.25" customHeight="1" s="99">
      <c r="A40" s="1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99">
      <c r="A41" s="1" t="n"/>
      <c r="B41" s="238" t="inlineStr">
        <is>
          <t>AÑO 2025</t>
        </is>
      </c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99">
      <c r="A42" s="1" t="n"/>
      <c r="B42" s="50" t="inlineStr">
        <is>
          <t>DESCRIPTORES</t>
        </is>
      </c>
      <c r="C42" s="50" t="inlineStr">
        <is>
          <t>ENERO</t>
        </is>
      </c>
      <c r="D42" s="50" t="inlineStr">
        <is>
          <t>FEBRERO</t>
        </is>
      </c>
      <c r="E42" s="50" t="inlineStr">
        <is>
          <t>MARZO</t>
        </is>
      </c>
      <c r="F42" s="50" t="inlineStr">
        <is>
          <t>ABRIL</t>
        </is>
      </c>
      <c r="G42" s="50" t="inlineStr">
        <is>
          <t>MAYO</t>
        </is>
      </c>
      <c r="H42" s="50" t="inlineStr">
        <is>
          <t>JUNIO</t>
        </is>
      </c>
      <c r="I42" s="50" t="inlineStr">
        <is>
          <t>JULIO</t>
        </is>
      </c>
      <c r="J42" s="50" t="inlineStr">
        <is>
          <t>AGOSTO</t>
        </is>
      </c>
      <c r="K42" s="50" t="inlineStr">
        <is>
          <t>SEPTIEMBRE</t>
        </is>
      </c>
      <c r="L42" s="50" t="inlineStr">
        <is>
          <t>OCTUBRE</t>
        </is>
      </c>
      <c r="M42" s="50" t="inlineStr">
        <is>
          <t>NOVIEMBRE</t>
        </is>
      </c>
      <c r="N42" s="50" t="inlineStr">
        <is>
          <t>DICIEMBRE</t>
        </is>
      </c>
      <c r="O42" s="50" t="inlineStr">
        <is>
          <t>TOTAL 2025</t>
        </is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99">
      <c r="A43" s="1" t="n"/>
      <c r="B43" s="41" t="inlineStr">
        <is>
          <t>Días ausencia EL/AT</t>
        </is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42">
        <f>SUM(C43:N43)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99">
      <c r="A44" s="1" t="n"/>
      <c r="B44" s="41" t="inlineStr">
        <is>
          <t>Días ausencia EC</t>
        </is>
      </c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2">
        <f>SUM(C44:N44)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99">
      <c r="A45" s="1" t="n"/>
      <c r="B45" s="41" t="inlineStr">
        <is>
          <t>Días programados</t>
        </is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42">
        <f>AVERAGE(C45:N45)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99">
      <c r="A46" s="1" t="n"/>
      <c r="B46" s="41" t="inlineStr">
        <is>
          <t>Total trabajadores</t>
        </is>
      </c>
      <c r="C46" s="15" t="n"/>
      <c r="D46" s="51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42">
        <f>AVERAGE(C46:N46)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99">
      <c r="A47" s="1" t="n"/>
      <c r="B47" s="45" t="inlineStr">
        <is>
          <t>Ausentismo</t>
        </is>
      </c>
      <c r="C47" s="96">
        <f>(C43+C44)/(C45*C46)</f>
        <v/>
      </c>
      <c r="D47" s="96">
        <f>(D43+D44)/(D45*D46)</f>
        <v/>
      </c>
      <c r="E47" s="96">
        <f>(E43+E44)/(E45*E46)</f>
        <v/>
      </c>
      <c r="F47" s="96">
        <f>(F43+F44)/(F45*F46)</f>
        <v/>
      </c>
      <c r="G47" s="96">
        <f>(G43+G44)/(G45*G46)</f>
        <v/>
      </c>
      <c r="H47" s="96">
        <f>(H43+H44)/(H45*H46)</f>
        <v/>
      </c>
      <c r="I47" s="96">
        <f>(I43+I44)/(I45*I46)</f>
        <v/>
      </c>
      <c r="J47" s="96">
        <f>(J43+J44)/(J45*J46)</f>
        <v/>
      </c>
      <c r="K47" s="96">
        <f>(K43+K44)/(K45*K46)</f>
        <v/>
      </c>
      <c r="L47" s="96">
        <f>(L43+L44)/(L45*L46)</f>
        <v/>
      </c>
      <c r="M47" s="96">
        <f>(M43+M44)/(M45*M46)</f>
        <v/>
      </c>
      <c r="N47" s="96">
        <f>(N43+N44)/(N45*N46)</f>
        <v/>
      </c>
      <c r="O47" s="96">
        <f>(O43+O44)/(O45*O46)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99">
      <c r="A48" s="1" t="n"/>
      <c r="B48" s="45" t="inlineStr">
        <is>
          <t>Meta</t>
        </is>
      </c>
      <c r="C48" s="87">
        <f>$E$13</f>
        <v/>
      </c>
      <c r="D48" s="87">
        <f>$E$13</f>
        <v/>
      </c>
      <c r="E48" s="87">
        <f>$E$13</f>
        <v/>
      </c>
      <c r="F48" s="87">
        <f>$E$13</f>
        <v/>
      </c>
      <c r="G48" s="87">
        <f>$E$13</f>
        <v/>
      </c>
      <c r="H48" s="87">
        <f>$E$13</f>
        <v/>
      </c>
      <c r="I48" s="87">
        <f>$E$13</f>
        <v/>
      </c>
      <c r="J48" s="87">
        <f>$E$13</f>
        <v/>
      </c>
      <c r="K48" s="87">
        <f>$E$13</f>
        <v/>
      </c>
      <c r="L48" s="87">
        <f>$E$13</f>
        <v/>
      </c>
      <c r="M48" s="87">
        <f>$E$13</f>
        <v/>
      </c>
      <c r="N48" s="87">
        <f>$E$13</f>
        <v/>
      </c>
      <c r="O48" s="87">
        <f>$E$13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8.25" customHeight="1" s="99">
      <c r="A49" s="1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99">
      <c r="A50" s="1" t="n"/>
      <c r="B50" s="239" t="inlineStr">
        <is>
          <t>GRAFICA DEL INDICADOR</t>
        </is>
      </c>
      <c r="C50" s="203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  <c r="M50" s="203" t="n"/>
      <c r="N50" s="203" t="n"/>
      <c r="O50" s="176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93" customHeight="1" s="99">
      <c r="A51" s="1" t="n"/>
      <c r="B51" s="52" t="n"/>
      <c r="C51" s="53" t="n"/>
      <c r="D51" s="53" t="n"/>
      <c r="E51" s="53" t="n"/>
      <c r="F51" s="53" t="n"/>
      <c r="G51" s="53" t="n"/>
      <c r="H51" s="53" t="n"/>
      <c r="I51" s="54" t="n"/>
      <c r="J51" s="53" t="n"/>
      <c r="K51" s="53" t="n"/>
      <c r="L51" s="53" t="n"/>
      <c r="M51" s="53" t="n"/>
      <c r="N51" s="53" t="n"/>
      <c r="O51" s="54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9" customHeight="1" s="9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99">
      <c r="A53" s="1" t="n"/>
      <c r="B53" s="233" t="inlineStr">
        <is>
          <t>ANÁLISIS</t>
        </is>
      </c>
      <c r="C53" s="195" t="n"/>
      <c r="D53" s="195" t="n"/>
      <c r="E53" s="195" t="n"/>
      <c r="F53" s="195" t="n"/>
      <c r="G53" s="195" t="n"/>
      <c r="H53" s="195" t="n"/>
      <c r="I53" s="193" t="n"/>
      <c r="J53" s="233" t="inlineStr">
        <is>
          <t>ACCIONES DE MEJORA</t>
        </is>
      </c>
      <c r="K53" s="195" t="n"/>
      <c r="L53" s="195" t="n"/>
      <c r="M53" s="195" t="n"/>
      <c r="N53" s="195" t="n"/>
      <c r="O53" s="193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5.25" customHeight="1" s="99">
      <c r="A54" s="1" t="n"/>
      <c r="B54" s="206" t="n"/>
      <c r="C54" s="195" t="n"/>
      <c r="D54" s="195" t="n"/>
      <c r="E54" s="195" t="n"/>
      <c r="F54" s="195" t="n"/>
      <c r="G54" s="195" t="n"/>
      <c r="H54" s="195" t="n"/>
      <c r="I54" s="193" t="n"/>
      <c r="J54" s="206" t="n"/>
      <c r="K54" s="195" t="n"/>
      <c r="L54" s="195" t="n"/>
      <c r="M54" s="195" t="n"/>
      <c r="N54" s="195" t="n"/>
      <c r="O54" s="193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5.25" customHeight="1" s="99">
      <c r="A55" s="1" t="n"/>
      <c r="B55" s="206" t="n"/>
      <c r="C55" s="195" t="n"/>
      <c r="D55" s="195" t="n"/>
      <c r="E55" s="195" t="n"/>
      <c r="F55" s="195" t="n"/>
      <c r="G55" s="195" t="n"/>
      <c r="H55" s="195" t="n"/>
      <c r="I55" s="193" t="n"/>
      <c r="J55" s="206" t="n"/>
      <c r="K55" s="195" t="n"/>
      <c r="L55" s="195" t="n"/>
      <c r="M55" s="195" t="n"/>
      <c r="N55" s="195" t="n"/>
      <c r="O55" s="193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5.25" customHeight="1" s="99">
      <c r="A56" s="1" t="n"/>
      <c r="B56" s="206" t="n"/>
      <c r="C56" s="195" t="n"/>
      <c r="D56" s="195" t="n"/>
      <c r="E56" s="195" t="n"/>
      <c r="F56" s="195" t="n"/>
      <c r="G56" s="195" t="n"/>
      <c r="H56" s="195" t="n"/>
      <c r="I56" s="193" t="n"/>
      <c r="J56" s="206" t="n"/>
      <c r="K56" s="195" t="n"/>
      <c r="L56" s="195" t="n"/>
      <c r="M56" s="195" t="n"/>
      <c r="N56" s="195" t="n"/>
      <c r="O56" s="193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5.25" customHeight="1" s="99">
      <c r="A57" s="1" t="n"/>
      <c r="B57" s="206" t="n"/>
      <c r="C57" s="195" t="n"/>
      <c r="D57" s="195" t="n"/>
      <c r="E57" s="195" t="n"/>
      <c r="F57" s="195" t="n"/>
      <c r="G57" s="195" t="n"/>
      <c r="H57" s="195" t="n"/>
      <c r="I57" s="193" t="n"/>
      <c r="J57" s="206" t="n"/>
      <c r="K57" s="195" t="n"/>
      <c r="L57" s="195" t="n"/>
      <c r="M57" s="195" t="n"/>
      <c r="N57" s="195" t="n"/>
      <c r="O57" s="19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5.25" customHeight="1" s="99">
      <c r="A58" s="1" t="n"/>
      <c r="B58" s="206" t="n"/>
      <c r="C58" s="195" t="n"/>
      <c r="D58" s="195" t="n"/>
      <c r="E58" s="195" t="n"/>
      <c r="F58" s="195" t="n"/>
      <c r="G58" s="195" t="n"/>
      <c r="H58" s="195" t="n"/>
      <c r="I58" s="193" t="n"/>
      <c r="J58" s="206" t="n"/>
      <c r="K58" s="195" t="n"/>
      <c r="L58" s="195" t="n"/>
      <c r="M58" s="195" t="n"/>
      <c r="N58" s="195" t="n"/>
      <c r="O58" s="193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35.25" customHeight="1" s="99">
      <c r="A59" s="1" t="n"/>
      <c r="B59" s="206" t="n"/>
      <c r="C59" s="195" t="n"/>
      <c r="D59" s="195" t="n"/>
      <c r="E59" s="195" t="n"/>
      <c r="F59" s="195" t="n"/>
      <c r="G59" s="195" t="n"/>
      <c r="H59" s="195" t="n"/>
      <c r="I59" s="193" t="n"/>
      <c r="J59" s="206" t="n"/>
      <c r="K59" s="195" t="n"/>
      <c r="L59" s="195" t="n"/>
      <c r="M59" s="195" t="n"/>
      <c r="N59" s="195" t="n"/>
      <c r="O59" s="19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35.25" customHeight="1" s="99">
      <c r="A60" s="1" t="n"/>
      <c r="B60" s="206" t="n"/>
      <c r="C60" s="195" t="n"/>
      <c r="D60" s="195" t="n"/>
      <c r="E60" s="195" t="n"/>
      <c r="F60" s="195" t="n"/>
      <c r="G60" s="195" t="n"/>
      <c r="H60" s="195" t="n"/>
      <c r="I60" s="193" t="n"/>
      <c r="J60" s="206" t="n"/>
      <c r="K60" s="195" t="n"/>
      <c r="L60" s="195" t="n"/>
      <c r="M60" s="195" t="n"/>
      <c r="N60" s="195" t="n"/>
      <c r="O60" s="19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9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9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9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9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9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9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9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9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9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9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9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9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9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9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9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9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9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9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9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9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9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9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9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9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9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9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9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9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9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9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9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9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9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9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9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9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9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9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9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9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9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9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9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9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9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9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9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9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9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9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9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9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9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9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9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9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9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9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9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9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9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9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9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9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9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9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9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9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9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9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9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9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9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9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9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9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9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9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9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9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9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9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9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9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9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9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9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9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9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9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9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9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9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9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9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9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9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9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9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9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9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9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9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9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9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9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9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9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9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9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9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9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9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9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9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9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9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9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9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9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9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9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9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9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9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9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9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9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9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9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9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9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9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9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9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9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9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9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9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9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9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9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9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9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9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9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9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9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9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9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9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9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9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9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9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9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9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9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9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9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9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9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9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9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9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9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9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9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9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9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9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9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9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9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9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9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9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9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9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9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9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9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9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9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9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9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9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9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9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9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9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9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9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9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9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9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9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9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9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9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9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9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9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9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9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9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9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9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9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9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9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9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9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9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9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9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9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9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9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9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9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9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9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9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9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9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9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9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9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9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9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9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9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9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9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9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9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9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9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9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9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9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9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9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9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9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9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9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9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9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9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9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9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9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9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9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9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9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9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9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9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9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9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9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9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9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9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9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9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9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9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9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9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9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9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9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9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9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9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9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9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9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9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9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9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9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9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9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9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9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9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9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9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9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9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9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9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9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9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9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9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9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9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9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9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9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9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9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9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9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9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9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9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9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9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9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9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9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9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9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9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9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9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9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9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9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9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9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9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9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9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9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9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9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9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9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9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9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9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9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9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9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9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9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9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9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9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9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9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9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9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9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9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9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9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9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9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9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9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9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9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9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9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9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9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9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9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9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9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9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9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9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9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9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9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9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9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9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9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9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9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9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9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9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9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9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9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9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9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9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9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9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9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9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9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9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9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9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9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9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9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9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9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9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9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9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9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9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9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9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9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9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9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9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9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9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9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9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9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9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9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9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9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9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9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9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9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9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9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9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9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9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9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9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9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9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9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9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9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9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9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9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9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9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9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9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9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9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9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9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9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9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9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9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9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9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9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9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9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9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9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9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9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9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9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9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9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9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9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9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9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9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9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9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9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9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9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9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9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9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9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9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9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9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9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9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9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9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9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9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9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9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9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9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9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9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9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9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9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9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9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9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9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9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9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9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9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9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9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9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9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9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9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9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9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9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9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9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9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9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9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9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9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9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9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9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9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9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9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9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9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9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9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9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9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9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9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9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9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9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9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9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9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9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9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9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9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9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9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9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9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9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9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9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9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9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9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9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9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9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9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9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9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9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9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9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9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9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9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9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9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9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9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9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9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9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9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9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9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9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9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9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9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9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9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9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9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9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9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9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9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9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9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9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9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9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9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9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9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9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9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9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9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9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9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9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9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9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9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9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9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9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9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9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9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9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9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9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9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9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9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9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9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9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9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9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9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9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9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9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9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9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9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9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9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9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9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9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9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9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9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9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9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9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9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9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9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9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9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9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9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9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9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9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9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9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9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9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9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9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9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9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9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9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9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9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9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9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9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9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9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9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9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9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9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9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9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9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9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9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9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9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9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9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9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9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9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9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9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9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9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9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9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9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9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9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9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9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9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9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9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9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9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9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9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9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9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9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9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9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9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9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9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9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9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9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9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9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9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9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9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9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9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9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9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9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9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9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9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9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9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9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9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9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9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9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9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9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9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9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9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9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9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9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9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9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9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9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9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9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9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9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9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9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9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9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9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9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9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9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9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9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9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9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9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9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9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9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9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9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9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9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9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9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9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9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9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9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9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9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9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9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9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9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9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9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9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9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9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9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9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9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9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9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9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9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9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9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9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9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9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9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9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9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9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9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9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9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9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9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9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9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9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9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9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9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9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9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9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9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9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9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9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9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9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9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9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9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9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9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9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9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9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9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9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9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9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9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9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9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9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9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9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9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9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9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9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9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9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9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9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9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9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9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9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9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9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9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9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9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9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9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9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9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9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9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9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9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9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9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9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9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9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9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9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9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9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9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9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9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9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9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9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9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9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9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9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9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9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9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9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9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9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9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9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9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9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9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9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9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9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9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9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9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9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9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9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9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9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9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9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9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9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9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9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9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9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9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9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9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9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9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9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9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9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9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9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9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4">
    <mergeCell ref="B41:O41"/>
    <mergeCell ref="J53:O53"/>
    <mergeCell ref="B16:C16"/>
    <mergeCell ref="B13:C14"/>
    <mergeCell ref="D4:M4"/>
    <mergeCell ref="D11:O11"/>
    <mergeCell ref="B54:I54"/>
    <mergeCell ref="B7:O7"/>
    <mergeCell ref="B59:I59"/>
    <mergeCell ref="B50:O50"/>
    <mergeCell ref="J55:O55"/>
    <mergeCell ref="B31:O31"/>
    <mergeCell ref="B18:C18"/>
    <mergeCell ref="D17:O17"/>
    <mergeCell ref="B22:O22"/>
    <mergeCell ref="D2:M3"/>
    <mergeCell ref="B12:C12"/>
    <mergeCell ref="B56:I56"/>
    <mergeCell ref="J54:O54"/>
    <mergeCell ref="D16:O16"/>
    <mergeCell ref="B58:I58"/>
    <mergeCell ref="B21:O21"/>
    <mergeCell ref="B11:C11"/>
    <mergeCell ref="B2:C4"/>
    <mergeCell ref="B60:I60"/>
    <mergeCell ref="D18:O18"/>
    <mergeCell ref="J56:O56"/>
    <mergeCell ref="B17:C17"/>
    <mergeCell ref="D9:O9"/>
    <mergeCell ref="B23:O23"/>
    <mergeCell ref="B57:I57"/>
    <mergeCell ref="B8:O8"/>
    <mergeCell ref="B53:I53"/>
    <mergeCell ref="D15:O15"/>
    <mergeCell ref="B19:C19"/>
    <mergeCell ref="B10:C10"/>
    <mergeCell ref="J58:O58"/>
    <mergeCell ref="B9:C9"/>
    <mergeCell ref="D20:O20"/>
    <mergeCell ref="B6:C6"/>
    <mergeCell ref="D12:N12"/>
    <mergeCell ref="D10:O10"/>
    <mergeCell ref="B15:C15"/>
    <mergeCell ref="D19:O19"/>
    <mergeCell ref="B55:I55"/>
    <mergeCell ref="J57:O57"/>
    <mergeCell ref="B20:C20"/>
    <mergeCell ref="J59:O59"/>
    <mergeCell ref="N2:O3"/>
    <mergeCell ref="J60:O60"/>
    <mergeCell ref="B5:O5"/>
    <mergeCell ref="B32:O32"/>
    <mergeCell ref="N4:O4"/>
    <mergeCell ref="D6:O6"/>
  </mergeCells>
  <conditionalFormatting sqref="C29:O29">
    <cfRule type="cellIs" priority="1" operator="greaterThan" dxfId="1">
      <formula>C30</formula>
    </cfRule>
    <cfRule type="cellIs" priority="2" operator="lessThanOrEqual" dxfId="0">
      <formula>C30</formula>
    </cfRule>
  </conditionalFormatting>
  <conditionalFormatting sqref="C38:O38">
    <cfRule type="cellIs" priority="3" operator="greaterThan" dxfId="1">
      <formula>C39</formula>
    </cfRule>
    <cfRule type="cellIs" priority="4" operator="lessThanOrEqual" dxfId="0">
      <formula>C39</formula>
    </cfRule>
  </conditionalFormatting>
  <conditionalFormatting sqref="C47:O47">
    <cfRule type="cellIs" priority="5" operator="greaterThan" dxfId="1">
      <formula>C48</formula>
    </cfRule>
    <cfRule type="cellIs" priority="6" operator="lessThanOrEqual" dxfId="0">
      <formula>C48</formula>
    </cfRule>
  </conditionalFormatting>
  <pageMargins left="0.7" right="0.7" top="0.75" bottom="0.75" header="0" footer="0"/>
  <pageSetup orientation="portrait"/>
  <rowBreaks count="1" manualBreakCount="1">
    <brk id="5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2016-03-14T14:26:04Z</dcterms:created>
  <dcterms:modified xmlns:dcterms="http://purl.org/dc/terms/" xmlns:xsi="http://www.w3.org/2001/XMLSchema-instance" xsi:type="dcterms:W3CDTF">2026-05-27T17:17:28Z</dcterms:modified>
  <cp:lastModifiedBy>Usuario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0x010100BC5401027A378846862327A0B016ACC8</vt:lpwstr>
  </property>
  <property name="MediaServiceImageTags" fmtid="{D5CDD505-2E9C-101B-9397-08002B2CF9AE}" pid="3">
    <vt:lpwstr xmlns:vt="http://schemas.openxmlformats.org/officeDocument/2006/docPropsVTypes"/>
  </property>
</Properties>
</file>