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36AA5D61-2AB6-4B54-AA9E-E458EE12F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5" i="1"/>
  <c r="S115" i="1" l="1"/>
</calcChain>
</file>

<file path=xl/sharedStrings.xml><?xml version="1.0" encoding="utf-8"?>
<sst xmlns="http://schemas.openxmlformats.org/spreadsheetml/2006/main" count="265" uniqueCount="103">
  <si>
    <t>ACTIVIDAD ECONÓMICA: CIIU 0230 (Recolección forestal y operación de campo) y CIIU 0163 (Post-cosecha y acondicionamiento agrícola)</t>
  </si>
  <si>
    <t>FECHA: 02/02/2026</t>
  </si>
  <si>
    <t>VERSIÓN: 1</t>
  </si>
  <si>
    <t>CÓDIGO: FG-FOR-SST-32</t>
  </si>
  <si>
    <t>DESCRIPCCION</t>
  </si>
  <si>
    <t>CANTIDAD REQUERIDA</t>
  </si>
  <si>
    <t>VALOR UNITARIO</t>
  </si>
  <si>
    <t>SUB TOTAL</t>
  </si>
  <si>
    <t>PROVEEDOR/CONTRATISTA</t>
  </si>
  <si>
    <t>P: PLANEADO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</si>
  <si>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</si>
  <si>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</si>
  <si>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</si>
  <si>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</si>
  <si>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</si>
  <si>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</si>
  <si>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</si>
  <si>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</si>
  <si>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</si>
  <si>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</si>
  <si>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</si>
  <si>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</si>
  <si>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</si>
  <si>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>SEGURIDAD INDUSTRIAL</t>
  </si>
  <si>
    <t>E: EJECUTADO</t>
  </si>
  <si>
    <t>Camisa hombre</t>
  </si>
  <si>
    <t>Bordados Nus</t>
  </si>
  <si>
    <t>P</t>
  </si>
  <si>
    <t>E</t>
  </si>
  <si>
    <t>Camisa mujer</t>
  </si>
  <si>
    <t>Busos</t>
  </si>
  <si>
    <t>pantalon hombre</t>
  </si>
  <si>
    <t>Pantalon mujer</t>
  </si>
  <si>
    <t xml:space="preserve">Bota de seguridad </t>
  </si>
  <si>
    <t>EPP</t>
  </si>
  <si>
    <t>Guantes de carnaza reforzados (Manejo de herramientas y espinas)</t>
  </si>
  <si>
    <t>Gafas oscuras UV</t>
  </si>
  <si>
    <t>Gafas Transparentes</t>
  </si>
  <si>
    <t>Guantes vaqueta largo</t>
  </si>
  <si>
    <t>Guante vaqueta corto</t>
  </si>
  <si>
    <t>Guantes anticorte</t>
  </si>
  <si>
    <t>Guante Nitrilo</t>
  </si>
  <si>
    <t>Delantal / Peto impermeable (Manipulación y lavado de resinas/gomas)</t>
  </si>
  <si>
    <t>Chaqueta impermeable / Rompevientos para campo</t>
  </si>
  <si>
    <t>tapaoidos insercion</t>
  </si>
  <si>
    <t>Recarga Extintor multipropósito ABC</t>
  </si>
  <si>
    <t>Botiquin</t>
  </si>
  <si>
    <t>Dotación Brigada</t>
  </si>
  <si>
    <t>señalizacion y demarcacion (cinta peligro)</t>
  </si>
  <si>
    <t>MEDICINA PREVENTIVA Y DEL TRABAJO</t>
  </si>
  <si>
    <t>PROVEEDOR</t>
  </si>
  <si>
    <t>Exámenes médicos de ingreso</t>
  </si>
  <si>
    <t xml:space="preserve">IPS SALUD DE </t>
  </si>
  <si>
    <t>Exámenes periódicos</t>
  </si>
  <si>
    <t>EDUCACIÓN Y CAPACITACIÓN</t>
  </si>
  <si>
    <t>Capacitación en brigada de primeros auxilios</t>
  </si>
  <si>
    <t>ARL SURA</t>
  </si>
  <si>
    <t>Capacitación en brigada de prevención y control de incendios</t>
  </si>
  <si>
    <t>Capacitación en brigada de evacuación y rescate</t>
  </si>
  <si>
    <t>RECURSO HUMANO SST</t>
  </si>
  <si>
    <t>Salario mensual coordinador SST</t>
  </si>
  <si>
    <t>12 meses</t>
  </si>
  <si>
    <t>Papeleria (documentos del SG-SST)</t>
  </si>
  <si>
    <t>Proveedora el Roble</t>
  </si>
  <si>
    <t xml:space="preserve">MEDIO AMBIENTE </t>
  </si>
  <si>
    <t>Bolsa negra</t>
  </si>
  <si>
    <t>Bolsa blanca</t>
  </si>
  <si>
    <t>Bolsa roja</t>
  </si>
  <si>
    <t>EQUIPOS DE RECOLECCIÓN Y SEGURIDAD EN ALTURA FORESTAL</t>
  </si>
  <si>
    <t>Arnés de poda y recolección en alturas (Especializado)</t>
  </si>
  <si>
    <t>Eslinga de posicionamiento forestal para linieros/podadores</t>
  </si>
  <si>
    <t>Eslinga de seguridad con absorbedor de choque</t>
  </si>
  <si>
    <t>Mosquetones de seguridad para ascenso en árboles</t>
  </si>
  <si>
    <t>Poleas y ascendedores para rescate/recolección forestal</t>
  </si>
  <si>
    <t>Cintas de anclaje portátiles (Tie-off)</t>
  </si>
  <si>
    <t>Cuerdas certificadas y líneas de vida estáticas para ascenso</t>
  </si>
  <si>
    <t>Dispositivos bloqueadores y frenos de seguridad</t>
  </si>
  <si>
    <t>Escaleras de extensión ligeras para recolección en árboles</t>
  </si>
  <si>
    <t>MANTENIMIENTO PREVENTIVO Y CORRECTIVO DE HERRAMIENTAS FORESTALES Y DE POST-COSECHA</t>
  </si>
  <si>
    <t>Motosierra / Podadora de altura (Mantenimiento y kit de afilado)</t>
  </si>
  <si>
    <t>Machetes y hachas de operación (Afilado y cambio de mangos)</t>
  </si>
  <si>
    <t>Tijeras de podar de dos manos / Serruchos de altura</t>
  </si>
  <si>
    <t>Fumigadoras / Aspersoras de espalda (Desinfección de cultivos y post-cosecha)</t>
  </si>
  <si>
    <t>Equipos de secado / Deshidratadores solares (Mantenimiento de bandejas)</t>
  </si>
  <si>
    <t>Mesas de clasificación y tinas de lavado / Desinfección agrícola</t>
  </si>
  <si>
    <t>CURSOS DE SEGURIDAD EN ALTURAS FORESTALES Y PODA</t>
  </si>
  <si>
    <t>Reentrenamiento de trabajo seguro en alturas forestales</t>
  </si>
  <si>
    <t>ENSI SST</t>
  </si>
  <si>
    <t>AUDITORIA</t>
  </si>
  <si>
    <t>Auditoria interna</t>
  </si>
  <si>
    <t>MEDICIONES AMBIENTALES</t>
  </si>
  <si>
    <t>Medición de iluminación (Post-cosecha) y estrés térmico (Campo)</t>
  </si>
  <si>
    <t>TOTAL</t>
  </si>
  <si>
    <t>TOTAL PLANEADO</t>
  </si>
  <si>
    <t>PRESUPUESTO REALIZADO POR:</t>
  </si>
  <si>
    <t>PRESUPUESTO APROBADO POR:</t>
  </si>
  <si>
    <t>TOTAL EJECUTADO</t>
  </si>
  <si>
    <t>NOMBRE COMPLETO</t>
  </si>
  <si>
    <t>C.C.</t>
  </si>
  <si>
    <t>CARGO</t>
  </si>
  <si>
    <t>Profesional SST</t>
  </si>
  <si>
    <t>Representante Legal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</si>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</sst>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#,##0"/>
    <numFmt numFmtId="166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1E4D2B"/>
      <name val="Arial"/>
    </font>
    <font>
      <i/>
      <sz val="10"/>
      <name val="Arial"/>
    </font>
    <font>
      <b/>
      <sz val="10"/>
      <color rgb="FF1E4D2B"/>
      <name val="Arial"/>
    </font>
    <font>
      <b/>
      <sz val="10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4D2B"/>
        <bgColor rgb="FF1E4D2B"/>
      </patternFill>
    </fill>
    <fill>
      <patternFill patternType="solid">
        <fgColor rgb="FF2E6F40"/>
        <bgColor rgb="FF2E6F40"/>
      </patternFill>
    </fill>
    <fill>
      <patternFill patternType="solid">
        <fgColor rgb="FFF4F8F5"/>
        <bgColor rgb="FFF4F8F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166" fontId="0" fillId="0" borderId="0" xfId="1" applyNumberFormat="1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3" xfId="0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0" fillId="0" borderId="8" xfId="0" applyBorder="1"/>
    <xf numFmtId="0" fontId="0" fillId="0" borderId="9" xfId="0" applyBorder="1"/>
  </cellXfs>
  <cellStyles count="2">
    <cellStyle name="Moneda" xfId="1" builtinId="4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E4D2B"/>
          <bgColor rgb="FF1E4D2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B257B-10BE-4114-81B8-0BC13013FD27}" name="Tabla2" displayName="Tabla2" ref="A4:S114" totalsRowShown="0" headerRowDxfId="0" headerRowBorderDxfId="21" tableBorderDxfId="22" totalsRowBorderDxfId="20">
  <autoFilter ref="A4:S114" xr:uid="{58AB257B-10BE-4114-81B8-0BC13013FD27}"/>
  <tableColumns count="19">
    <tableColumn id="1" xr3:uid="{0D84EE28-E2BE-4F02-80B4-6ED692B54563}" name="DESCRIPCCION" dataDxfId="19"/>
    <tableColumn id="2" xr3:uid="{45C92248-6527-41E0-B42E-0E2B4D7D2A6C}" name="CANTIDAD REQUERIDA" dataDxfId="18"/>
    <tableColumn id="3" xr3:uid="{961658E9-7543-473B-A5E0-289FDE2D717C}" name="VALOR UNITARIO" dataDxfId="17"/>
    <tableColumn id="4" xr3:uid="{10CCEC46-DCAA-4F0F-A8A7-C611ABE7E889}" name="SUB TOTAL" dataDxfId="16"/>
    <tableColumn id="5" xr3:uid="{1D3AEE93-2B25-4C0E-82AC-E66A8AF8C887}" name="PROVEEDOR/CONTRATISTA" dataDxfId="15"/>
    <tableColumn id="6" xr3:uid="{469F3388-65A2-4AFD-B720-D2689F4AE555}" name="P: PLANEADO" dataDxfId="14"/>
    <tableColumn id="7" xr3:uid="{A3475F0E-02AB-4242-A6DB-E801C011CA3E}" name="ENERO" dataDxfId="13"/>
    <tableColumn id="8" xr3:uid="{28B82526-D676-4207-B170-83D66B11666A}" name="FEBRERO" dataDxfId="12"/>
    <tableColumn id="9" xr3:uid="{2C7B4173-9E38-4240-B7AC-F46358AEB8F3}" name="MARZO" dataDxfId="11"/>
    <tableColumn id="10" xr3:uid="{2A8CBEC3-8F84-4A2A-A6B2-96461B39F74D}" name="ABRIL" dataDxfId="10"/>
    <tableColumn id="11" xr3:uid="{8C6A40BB-CE9A-42AB-9FF9-E6238CE854F3}" name="MAYO" dataDxfId="9"/>
    <tableColumn id="12" xr3:uid="{BBDCAAE1-EFBA-42F8-88CD-36208506B957}" name="JUNIO" dataDxfId="8"/>
    <tableColumn id="13" xr3:uid="{E809836D-982B-457E-A19C-75AE41326092}" name="JULIO" dataDxfId="7"/>
    <tableColumn id="14" xr3:uid="{F549DA7C-77CF-4448-91D8-4891103A07EA}" name="AGOSTO" dataDxfId="6"/>
    <tableColumn id="15" xr3:uid="{632BE5D5-9310-4A6F-999F-CE837FDF0BCA}" name="SEPTIEMBRE" dataDxfId="5"/>
    <tableColumn id="16" xr3:uid="{56406DCA-54EE-4717-8707-0C165F1F4D28}" name="OCTUBRE" dataDxfId="4"/>
    <tableColumn id="17" xr3:uid="{04E46C58-45A4-4119-829B-641293CD47D1}" name="NOVIEMBRE" dataDxfId="3"/>
    <tableColumn id="18" xr3:uid="{3A4865EA-368C-49D2-9A53-886B95E0A4EA}" name="DICIEMBRE" dataDxfId="2"/>
    <tableColumn id="19" xr3:uid="{19AB861D-FF29-4CEC-93FD-2F8D9BD00046}" name="TOTAL " dataDxfId="1">
      <calculatedColumnFormula>SUM(G5:R5)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"/>
  <sheetViews>
    <sheetView tabSelected="1" workbookViewId="0">
      <selection activeCell="U3" sqref="U3"/>
    </sheetView>
  </sheetViews>
  <sheetFormatPr baseColWidth="10" defaultColWidth="8.88671875" defaultRowHeight="14.4" x14ac:dyDescent="0.3"/>
  <cols>
    <col min="1" max="1" width="93.33203125" bestFit="1" customWidth="1"/>
    <col min="2" max="2" width="23.6640625" customWidth="1"/>
    <col min="3" max="3" width="18.44140625" customWidth="1"/>
    <col min="4" max="4" width="13.33203125" customWidth="1"/>
    <col min="5" max="5" width="28.109375" customWidth="1"/>
    <col min="6" max="6" width="28" customWidth="1"/>
    <col min="7" max="7" width="22" customWidth="1"/>
    <col min="8" max="8" width="12" customWidth="1"/>
    <col min="9" max="9" width="10" customWidth="1"/>
    <col min="10" max="10" width="24" customWidth="1"/>
    <col min="11" max="11" width="18" customWidth="1"/>
    <col min="12" max="13" width="10" customWidth="1"/>
    <col min="14" max="14" width="10.77734375" customWidth="1"/>
    <col min="15" max="15" width="14.6640625" customWidth="1"/>
    <col min="16" max="16" width="12" customWidth="1"/>
    <col min="17" max="17" width="13.88671875" customWidth="1"/>
    <col min="18" max="18" width="13" customWidth="1"/>
    <col min="19" max="19" width="12.88671875" bestFit="1" customWidth="1"/>
    <col min="20" max="20" width="13" customWidth="1"/>
    <col min="21" max="21" width="10" customWidth="1"/>
    <col min="22" max="23" width="12" customWidth="1"/>
    <col min="24" max="24" width="12.88671875" bestFit="1" customWidth="1"/>
  </cols>
  <sheetData>
    <row r="1" spans="1:19" x14ac:dyDescent="0.3">
      <c r="C1" s="1" t="s">
        <v>0</v>
      </c>
      <c r="R1" s="2" t="s">
        <v>1</v>
      </c>
    </row>
    <row r="2" spans="1:19" x14ac:dyDescent="0.3">
      <c r="R2" s="2" t="s">
        <v>2</v>
      </c>
    </row>
    <row r="3" spans="1:19" x14ac:dyDescent="0.3">
      <c r="R3" s="3" t="s">
        <v>3</v>
      </c>
    </row>
    <row r="4" spans="1:19" x14ac:dyDescent="0.3">
      <c r="A4" s="12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4" t="s">
        <v>22</v>
      </c>
    </row>
    <row r="5" spans="1:19" x14ac:dyDescent="0.3">
      <c r="A5" s="9" t="s">
        <v>23</v>
      </c>
      <c r="B5" s="7"/>
      <c r="C5" s="7"/>
      <c r="D5" s="7"/>
      <c r="E5" s="7"/>
      <c r="F5" s="6" t="s">
        <v>24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11">
        <f>SUM(G5:R5)</f>
        <v>0</v>
      </c>
    </row>
    <row r="6" spans="1:19" x14ac:dyDescent="0.3">
      <c r="A6" s="10" t="s">
        <v>25</v>
      </c>
      <c r="B6" s="8">
        <v>12</v>
      </c>
      <c r="C6" s="8">
        <v>55000</v>
      </c>
      <c r="D6" s="7"/>
      <c r="E6" s="7" t="s">
        <v>26</v>
      </c>
      <c r="F6" s="7" t="s">
        <v>27</v>
      </c>
      <c r="G6" s="7">
        <v>220000</v>
      </c>
      <c r="H6" s="7"/>
      <c r="I6" s="7"/>
      <c r="J6" s="7"/>
      <c r="K6" s="7">
        <v>220000</v>
      </c>
      <c r="L6" s="7"/>
      <c r="M6" s="7"/>
      <c r="N6" s="7"/>
      <c r="O6" s="7">
        <v>220000</v>
      </c>
      <c r="P6" s="7"/>
      <c r="Q6" s="7">
        <v>360000</v>
      </c>
      <c r="R6" s="7"/>
      <c r="S6" s="11">
        <f t="shared" ref="S6:S69" si="0">SUM(G6:R6)</f>
        <v>1020000</v>
      </c>
    </row>
    <row r="7" spans="1:19" x14ac:dyDescent="0.3">
      <c r="A7" s="10"/>
      <c r="B7" s="7"/>
      <c r="C7" s="7"/>
      <c r="D7" s="7"/>
      <c r="E7" s="7"/>
      <c r="F7" s="7" t="s">
        <v>28</v>
      </c>
      <c r="G7" s="7">
        <v>220000</v>
      </c>
      <c r="H7" s="7"/>
      <c r="I7" s="7"/>
      <c r="J7" s="7"/>
      <c r="K7" s="7">
        <v>45000</v>
      </c>
      <c r="L7" s="7"/>
      <c r="M7" s="7"/>
      <c r="N7" s="7"/>
      <c r="O7" s="7">
        <v>225000</v>
      </c>
      <c r="P7" s="7"/>
      <c r="Q7" s="7">
        <v>360000</v>
      </c>
      <c r="R7" s="7"/>
      <c r="S7" s="11">
        <f t="shared" si="0"/>
        <v>850000</v>
      </c>
    </row>
    <row r="8" spans="1:19" x14ac:dyDescent="0.3">
      <c r="A8" s="10" t="s">
        <v>29</v>
      </c>
      <c r="B8" s="8">
        <v>6</v>
      </c>
      <c r="C8" s="8">
        <v>55000</v>
      </c>
      <c r="D8" s="7"/>
      <c r="E8" s="7" t="s">
        <v>26</v>
      </c>
      <c r="F8" s="7" t="s">
        <v>27</v>
      </c>
      <c r="G8" s="7">
        <v>55000</v>
      </c>
      <c r="H8" s="7"/>
      <c r="I8" s="7"/>
      <c r="J8" s="7"/>
      <c r="K8" s="7"/>
      <c r="L8" s="7"/>
      <c r="M8" s="7"/>
      <c r="N8" s="7"/>
      <c r="O8" s="7">
        <v>95000</v>
      </c>
      <c r="P8" s="7"/>
      <c r="Q8" s="7"/>
      <c r="R8" s="7"/>
      <c r="S8" s="11">
        <f t="shared" si="0"/>
        <v>150000</v>
      </c>
    </row>
    <row r="9" spans="1:19" x14ac:dyDescent="0.3">
      <c r="A9" s="10"/>
      <c r="B9" s="7"/>
      <c r="C9" s="7"/>
      <c r="D9" s="7"/>
      <c r="E9" s="7"/>
      <c r="F9" s="7" t="s">
        <v>28</v>
      </c>
      <c r="G9" s="7">
        <v>55000</v>
      </c>
      <c r="H9" s="7"/>
      <c r="I9" s="7"/>
      <c r="J9" s="7"/>
      <c r="K9" s="7"/>
      <c r="L9" s="7"/>
      <c r="M9" s="7"/>
      <c r="N9" s="7"/>
      <c r="O9" s="7">
        <v>90000</v>
      </c>
      <c r="P9" s="7"/>
      <c r="Q9" s="7"/>
      <c r="R9" s="7"/>
      <c r="S9" s="11">
        <f t="shared" si="0"/>
        <v>145000</v>
      </c>
    </row>
    <row r="10" spans="1:19" x14ac:dyDescent="0.3">
      <c r="A10" s="10" t="s">
        <v>30</v>
      </c>
      <c r="B10" s="8">
        <v>4</v>
      </c>
      <c r="C10" s="8">
        <v>40000</v>
      </c>
      <c r="D10" s="7"/>
      <c r="E10" s="7" t="s">
        <v>26</v>
      </c>
      <c r="F10" s="7" t="s">
        <v>27</v>
      </c>
      <c r="G10" s="7"/>
      <c r="H10" s="7"/>
      <c r="I10" s="7"/>
      <c r="J10" s="7"/>
      <c r="K10" s="7">
        <v>36000</v>
      </c>
      <c r="L10" s="7"/>
      <c r="M10" s="7"/>
      <c r="N10" s="7"/>
      <c r="O10" s="7"/>
      <c r="P10" s="7"/>
      <c r="Q10" s="7"/>
      <c r="R10" s="7"/>
      <c r="S10" s="11">
        <f t="shared" si="0"/>
        <v>36000</v>
      </c>
    </row>
    <row r="11" spans="1:19" x14ac:dyDescent="0.3">
      <c r="A11" s="10"/>
      <c r="B11" s="7"/>
      <c r="C11" s="7"/>
      <c r="D11" s="7"/>
      <c r="E11" s="7"/>
      <c r="F11" s="7" t="s">
        <v>28</v>
      </c>
      <c r="G11" s="7"/>
      <c r="H11" s="7"/>
      <c r="I11" s="7"/>
      <c r="J11" s="7"/>
      <c r="K11" s="7">
        <v>36000</v>
      </c>
      <c r="L11" s="7"/>
      <c r="M11" s="7"/>
      <c r="N11" s="7"/>
      <c r="O11" s="7"/>
      <c r="P11" s="7"/>
      <c r="Q11" s="7"/>
      <c r="R11" s="7"/>
      <c r="S11" s="11">
        <f t="shared" si="0"/>
        <v>36000</v>
      </c>
    </row>
    <row r="12" spans="1:19" x14ac:dyDescent="0.3">
      <c r="A12" s="10" t="s">
        <v>31</v>
      </c>
      <c r="B12" s="8">
        <v>6</v>
      </c>
      <c r="C12" s="8">
        <v>45000</v>
      </c>
      <c r="D12" s="7"/>
      <c r="E12" s="7" t="s">
        <v>26</v>
      </c>
      <c r="F12" s="7" t="s">
        <v>27</v>
      </c>
      <c r="G12" s="7">
        <v>180000</v>
      </c>
      <c r="H12" s="7"/>
      <c r="I12" s="7"/>
      <c r="J12" s="7"/>
      <c r="K12" s="7">
        <v>180000</v>
      </c>
      <c r="L12" s="7"/>
      <c r="M12" s="7"/>
      <c r="N12" s="7"/>
      <c r="O12" s="7">
        <v>180000</v>
      </c>
      <c r="P12" s="7"/>
      <c r="Q12" s="7">
        <v>254000</v>
      </c>
      <c r="R12" s="7"/>
      <c r="S12" s="11">
        <f t="shared" si="0"/>
        <v>794000</v>
      </c>
    </row>
    <row r="13" spans="1:19" x14ac:dyDescent="0.3">
      <c r="A13" s="10"/>
      <c r="B13" s="7"/>
      <c r="C13" s="7"/>
      <c r="D13" s="7"/>
      <c r="E13" s="7"/>
      <c r="F13" s="7" t="s">
        <v>28</v>
      </c>
      <c r="G13" s="7">
        <v>180000</v>
      </c>
      <c r="H13" s="7"/>
      <c r="I13" s="7"/>
      <c r="J13" s="7"/>
      <c r="K13" s="7"/>
      <c r="L13" s="7"/>
      <c r="M13" s="7"/>
      <c r="N13" s="7"/>
      <c r="O13" s="7">
        <v>209000</v>
      </c>
      <c r="P13" s="7"/>
      <c r="Q13" s="7">
        <v>254000</v>
      </c>
      <c r="R13" s="7"/>
      <c r="S13" s="11">
        <f t="shared" si="0"/>
        <v>643000</v>
      </c>
    </row>
    <row r="14" spans="1:19" x14ac:dyDescent="0.3">
      <c r="A14" s="10" t="s">
        <v>32</v>
      </c>
      <c r="B14" s="8">
        <v>3</v>
      </c>
      <c r="C14" s="8">
        <v>45000</v>
      </c>
      <c r="D14" s="7"/>
      <c r="E14" s="7" t="s">
        <v>26</v>
      </c>
      <c r="F14" s="7" t="s">
        <v>27</v>
      </c>
      <c r="G14" s="7">
        <v>90000</v>
      </c>
      <c r="H14" s="7"/>
      <c r="I14" s="7"/>
      <c r="J14" s="7"/>
      <c r="K14" s="7">
        <v>90000</v>
      </c>
      <c r="L14" s="7"/>
      <c r="M14" s="7"/>
      <c r="N14" s="7"/>
      <c r="O14" s="7">
        <v>90000</v>
      </c>
      <c r="P14" s="7"/>
      <c r="Q14" s="7"/>
      <c r="R14" s="7"/>
      <c r="S14" s="11">
        <f t="shared" si="0"/>
        <v>270000</v>
      </c>
    </row>
    <row r="15" spans="1:19" x14ac:dyDescent="0.3">
      <c r="A15" s="10"/>
      <c r="B15" s="7"/>
      <c r="C15" s="7"/>
      <c r="D15" s="7"/>
      <c r="E15" s="7"/>
      <c r="F15" s="7" t="s">
        <v>28</v>
      </c>
      <c r="G15" s="7">
        <v>90000</v>
      </c>
      <c r="H15" s="7"/>
      <c r="I15" s="7"/>
      <c r="J15" s="7"/>
      <c r="K15" s="7"/>
      <c r="L15" s="7"/>
      <c r="M15" s="7"/>
      <c r="N15" s="7"/>
      <c r="O15" s="7">
        <v>102000</v>
      </c>
      <c r="P15" s="7"/>
      <c r="Q15" s="7"/>
      <c r="R15" s="7"/>
      <c r="S15" s="11">
        <f t="shared" si="0"/>
        <v>192000</v>
      </c>
    </row>
    <row r="16" spans="1:19" x14ac:dyDescent="0.3">
      <c r="A16" s="10" t="s">
        <v>33</v>
      </c>
      <c r="B16" s="8">
        <v>4</v>
      </c>
      <c r="C16" s="8">
        <v>265000</v>
      </c>
      <c r="D16" s="7"/>
      <c r="E16" s="7" t="s">
        <v>34</v>
      </c>
      <c r="F16" s="7" t="s">
        <v>27</v>
      </c>
      <c r="G16" s="7">
        <v>120000</v>
      </c>
      <c r="H16" s="7"/>
      <c r="I16" s="7"/>
      <c r="J16" s="7"/>
      <c r="K16" s="7"/>
      <c r="L16" s="7"/>
      <c r="M16" s="7"/>
      <c r="N16" s="7"/>
      <c r="O16" s="7"/>
      <c r="P16" s="7">
        <v>801000</v>
      </c>
      <c r="Q16" s="7">
        <v>165000</v>
      </c>
      <c r="R16" s="7">
        <v>170000</v>
      </c>
      <c r="S16" s="11">
        <f t="shared" si="0"/>
        <v>1256000</v>
      </c>
    </row>
    <row r="17" spans="1:19" x14ac:dyDescent="0.3">
      <c r="A17" s="10"/>
      <c r="B17" s="7"/>
      <c r="C17" s="7"/>
      <c r="D17" s="7"/>
      <c r="E17" s="7"/>
      <c r="F17" s="7" t="s">
        <v>28</v>
      </c>
      <c r="G17" s="7">
        <v>120000</v>
      </c>
      <c r="H17" s="7"/>
      <c r="I17" s="7"/>
      <c r="J17" s="7"/>
      <c r="K17" s="7"/>
      <c r="L17" s="7"/>
      <c r="M17" s="7"/>
      <c r="N17" s="7"/>
      <c r="O17" s="7"/>
      <c r="P17" s="7">
        <v>801000</v>
      </c>
      <c r="Q17" s="7">
        <v>165000</v>
      </c>
      <c r="R17" s="7">
        <v>170000</v>
      </c>
      <c r="S17" s="11">
        <f t="shared" si="0"/>
        <v>1256000</v>
      </c>
    </row>
    <row r="18" spans="1:19" x14ac:dyDescent="0.3">
      <c r="A18" s="10" t="s">
        <v>35</v>
      </c>
      <c r="B18" s="8">
        <v>10</v>
      </c>
      <c r="C18" s="8">
        <v>35000</v>
      </c>
      <c r="D18" s="7"/>
      <c r="E18" s="7" t="s">
        <v>34</v>
      </c>
      <c r="F18" s="7" t="s">
        <v>27</v>
      </c>
      <c r="G18" s="7"/>
      <c r="H18" s="7"/>
      <c r="I18" s="7"/>
      <c r="J18" s="7"/>
      <c r="K18" s="7"/>
      <c r="L18" s="7"/>
      <c r="M18" s="7">
        <v>36500</v>
      </c>
      <c r="N18" s="7"/>
      <c r="O18" s="7"/>
      <c r="P18" s="7"/>
      <c r="Q18" s="7"/>
      <c r="R18" s="7"/>
      <c r="S18" s="11">
        <f t="shared" si="0"/>
        <v>36500</v>
      </c>
    </row>
    <row r="19" spans="1:19" x14ac:dyDescent="0.3">
      <c r="A19" s="10"/>
      <c r="B19" s="7"/>
      <c r="C19" s="7"/>
      <c r="D19" s="7"/>
      <c r="E19" s="7"/>
      <c r="F19" s="7" t="s">
        <v>28</v>
      </c>
      <c r="G19" s="7"/>
      <c r="H19" s="7"/>
      <c r="I19" s="7"/>
      <c r="J19" s="7"/>
      <c r="K19" s="7"/>
      <c r="L19" s="7"/>
      <c r="M19" s="7">
        <v>36500</v>
      </c>
      <c r="N19" s="7"/>
      <c r="O19" s="7"/>
      <c r="P19" s="7"/>
      <c r="Q19" s="7"/>
      <c r="R19" s="7"/>
      <c r="S19" s="11">
        <f t="shared" si="0"/>
        <v>36500</v>
      </c>
    </row>
    <row r="20" spans="1:19" x14ac:dyDescent="0.3">
      <c r="A20" s="10" t="s">
        <v>36</v>
      </c>
      <c r="B20" s="8">
        <v>20</v>
      </c>
      <c r="C20" s="8">
        <v>9000</v>
      </c>
      <c r="D20" s="7"/>
      <c r="E20" s="7" t="s">
        <v>34</v>
      </c>
      <c r="F20" s="7" t="s">
        <v>27</v>
      </c>
      <c r="G20" s="7"/>
      <c r="H20" s="7"/>
      <c r="I20" s="7"/>
      <c r="J20" s="7">
        <v>8500</v>
      </c>
      <c r="K20" s="7">
        <v>17000</v>
      </c>
      <c r="L20" s="7">
        <v>9000</v>
      </c>
      <c r="M20" s="7"/>
      <c r="N20" s="7"/>
      <c r="O20" s="7"/>
      <c r="P20" s="7"/>
      <c r="Q20" s="7">
        <v>54000</v>
      </c>
      <c r="R20" s="7"/>
      <c r="S20" s="11">
        <f t="shared" si="0"/>
        <v>88500</v>
      </c>
    </row>
    <row r="21" spans="1:19" x14ac:dyDescent="0.3">
      <c r="A21" s="10"/>
      <c r="B21" s="7"/>
      <c r="C21" s="7"/>
      <c r="D21" s="7"/>
      <c r="E21" s="7"/>
      <c r="F21" s="7" t="s">
        <v>28</v>
      </c>
      <c r="G21" s="7"/>
      <c r="H21" s="7"/>
      <c r="I21" s="7">
        <v>25500</v>
      </c>
      <c r="J21" s="7">
        <v>8500</v>
      </c>
      <c r="K21" s="7">
        <v>17000</v>
      </c>
      <c r="L21" s="7">
        <v>9000</v>
      </c>
      <c r="M21" s="7"/>
      <c r="N21" s="7"/>
      <c r="O21" s="7"/>
      <c r="P21" s="7"/>
      <c r="Q21" s="7">
        <v>54000</v>
      </c>
      <c r="R21" s="7"/>
      <c r="S21" s="11">
        <f t="shared" si="0"/>
        <v>114000</v>
      </c>
    </row>
    <row r="22" spans="1:19" x14ac:dyDescent="0.3">
      <c r="A22" s="10" t="s">
        <v>37</v>
      </c>
      <c r="B22" s="8">
        <v>20</v>
      </c>
      <c r="C22" s="8">
        <v>9000</v>
      </c>
      <c r="D22" s="7"/>
      <c r="E22" s="7" t="s">
        <v>34</v>
      </c>
      <c r="F22" s="7" t="s">
        <v>27</v>
      </c>
      <c r="G22" s="7"/>
      <c r="H22" s="7"/>
      <c r="I22" s="7">
        <v>8500</v>
      </c>
      <c r="J22" s="7"/>
      <c r="K22" s="7"/>
      <c r="L22" s="7"/>
      <c r="M22" s="7"/>
      <c r="N22" s="7"/>
      <c r="O22" s="7"/>
      <c r="P22" s="7"/>
      <c r="Q22" s="7"/>
      <c r="R22" s="7"/>
      <c r="S22" s="11">
        <f t="shared" si="0"/>
        <v>8500</v>
      </c>
    </row>
    <row r="23" spans="1:19" x14ac:dyDescent="0.3">
      <c r="A23" s="10"/>
      <c r="B23" s="7"/>
      <c r="C23" s="7"/>
      <c r="D23" s="7"/>
      <c r="E23" s="7"/>
      <c r="F23" s="7" t="s">
        <v>28</v>
      </c>
      <c r="G23" s="7"/>
      <c r="H23" s="7"/>
      <c r="I23" s="7">
        <v>8500</v>
      </c>
      <c r="J23" s="7"/>
      <c r="K23" s="7"/>
      <c r="L23" s="7"/>
      <c r="M23" s="7"/>
      <c r="N23" s="7"/>
      <c r="O23" s="7"/>
      <c r="P23" s="7"/>
      <c r="Q23" s="7"/>
      <c r="R23" s="7"/>
      <c r="S23" s="11">
        <f t="shared" si="0"/>
        <v>8500</v>
      </c>
    </row>
    <row r="24" spans="1:19" x14ac:dyDescent="0.3">
      <c r="A24" s="10" t="s">
        <v>38</v>
      </c>
      <c r="B24" s="8">
        <v>10</v>
      </c>
      <c r="C24" s="8">
        <v>25000</v>
      </c>
      <c r="D24" s="7"/>
      <c r="E24" s="7" t="s">
        <v>34</v>
      </c>
      <c r="F24" s="7" t="s">
        <v>27</v>
      </c>
      <c r="G24" s="7"/>
      <c r="H24" s="7"/>
      <c r="I24" s="7"/>
      <c r="J24" s="7"/>
      <c r="K24" s="7"/>
      <c r="L24" s="7">
        <v>12000</v>
      </c>
      <c r="M24" s="7"/>
      <c r="N24" s="7"/>
      <c r="O24" s="7"/>
      <c r="P24" s="7"/>
      <c r="Q24" s="7">
        <v>34000</v>
      </c>
      <c r="R24" s="7"/>
      <c r="S24" s="11">
        <f t="shared" si="0"/>
        <v>46000</v>
      </c>
    </row>
    <row r="25" spans="1:19" x14ac:dyDescent="0.3">
      <c r="A25" s="10"/>
      <c r="B25" s="7"/>
      <c r="C25" s="7"/>
      <c r="D25" s="7"/>
      <c r="E25" s="7"/>
      <c r="F25" s="7" t="s">
        <v>28</v>
      </c>
      <c r="G25" s="7"/>
      <c r="H25" s="7"/>
      <c r="I25" s="7"/>
      <c r="J25" s="7"/>
      <c r="K25" s="7"/>
      <c r="L25" s="7">
        <v>12000</v>
      </c>
      <c r="M25" s="7"/>
      <c r="N25" s="7"/>
      <c r="O25" s="7"/>
      <c r="P25" s="7"/>
      <c r="Q25" s="7">
        <v>34000</v>
      </c>
      <c r="R25" s="7"/>
      <c r="S25" s="11">
        <f t="shared" si="0"/>
        <v>46000</v>
      </c>
    </row>
    <row r="26" spans="1:19" x14ac:dyDescent="0.3">
      <c r="A26" s="10" t="s">
        <v>39</v>
      </c>
      <c r="B26" s="8">
        <v>10</v>
      </c>
      <c r="C26" s="8">
        <v>15000</v>
      </c>
      <c r="D26" s="7"/>
      <c r="E26" s="7" t="s">
        <v>34</v>
      </c>
      <c r="F26" s="7" t="s">
        <v>27</v>
      </c>
      <c r="G26" s="7">
        <v>11500</v>
      </c>
      <c r="H26" s="7">
        <v>8000</v>
      </c>
      <c r="I26" s="7"/>
      <c r="J26" s="7"/>
      <c r="K26" s="7">
        <v>9800</v>
      </c>
      <c r="L26" s="7"/>
      <c r="M26" s="7"/>
      <c r="N26" s="7"/>
      <c r="O26" s="7"/>
      <c r="P26" s="7"/>
      <c r="Q26" s="7"/>
      <c r="R26" s="7"/>
      <c r="S26" s="11">
        <f t="shared" si="0"/>
        <v>29300</v>
      </c>
    </row>
    <row r="27" spans="1:19" x14ac:dyDescent="0.3">
      <c r="A27" s="10"/>
      <c r="B27" s="7"/>
      <c r="C27" s="7"/>
      <c r="D27" s="7"/>
      <c r="E27" s="7"/>
      <c r="F27" s="7" t="s">
        <v>28</v>
      </c>
      <c r="G27" s="7">
        <v>11500</v>
      </c>
      <c r="H27" s="7">
        <v>8000</v>
      </c>
      <c r="I27" s="7"/>
      <c r="J27" s="7"/>
      <c r="K27" s="7">
        <v>9800</v>
      </c>
      <c r="L27" s="7"/>
      <c r="M27" s="7"/>
      <c r="N27" s="7"/>
      <c r="O27" s="7"/>
      <c r="P27" s="7"/>
      <c r="Q27" s="7"/>
      <c r="R27" s="7"/>
      <c r="S27" s="11">
        <f t="shared" si="0"/>
        <v>29300</v>
      </c>
    </row>
    <row r="28" spans="1:19" x14ac:dyDescent="0.3">
      <c r="A28" s="10" t="s">
        <v>40</v>
      </c>
      <c r="B28" s="8">
        <v>20</v>
      </c>
      <c r="C28" s="8">
        <v>25000</v>
      </c>
      <c r="D28" s="7"/>
      <c r="E28" s="7" t="s">
        <v>34</v>
      </c>
      <c r="F28" s="7" t="s">
        <v>27</v>
      </c>
      <c r="G28" s="7">
        <v>22500</v>
      </c>
      <c r="H28" s="7">
        <v>23500</v>
      </c>
      <c r="I28" s="7"/>
      <c r="J28" s="7"/>
      <c r="K28" s="7">
        <v>47000</v>
      </c>
      <c r="L28" s="7">
        <v>94000</v>
      </c>
      <c r="M28" s="7">
        <v>47000</v>
      </c>
      <c r="N28" s="7"/>
      <c r="O28" s="7"/>
      <c r="P28" s="7"/>
      <c r="Q28" s="7">
        <v>117500</v>
      </c>
      <c r="R28" s="7">
        <v>94000</v>
      </c>
      <c r="S28" s="11">
        <f t="shared" si="0"/>
        <v>445500</v>
      </c>
    </row>
    <row r="29" spans="1:19" x14ac:dyDescent="0.3">
      <c r="A29" s="10"/>
      <c r="B29" s="7"/>
      <c r="C29" s="7"/>
      <c r="D29" s="7"/>
      <c r="E29" s="7"/>
      <c r="F29" s="7" t="s">
        <v>28</v>
      </c>
      <c r="G29" s="7">
        <v>22500</v>
      </c>
      <c r="H29" s="7">
        <v>23500</v>
      </c>
      <c r="I29" s="7">
        <v>70500</v>
      </c>
      <c r="J29" s="7"/>
      <c r="K29" s="7">
        <v>47000</v>
      </c>
      <c r="L29" s="7">
        <v>94000</v>
      </c>
      <c r="M29" s="7">
        <v>47000</v>
      </c>
      <c r="N29" s="7"/>
      <c r="O29" s="7"/>
      <c r="P29" s="7"/>
      <c r="Q29" s="7">
        <v>117500</v>
      </c>
      <c r="R29" s="7">
        <v>94000</v>
      </c>
      <c r="S29" s="11">
        <f t="shared" si="0"/>
        <v>516000</v>
      </c>
    </row>
    <row r="30" spans="1:19" x14ac:dyDescent="0.3">
      <c r="A30" s="10" t="s">
        <v>41</v>
      </c>
      <c r="B30" s="8">
        <v>5</v>
      </c>
      <c r="C30" s="8">
        <v>15000</v>
      </c>
      <c r="D30" s="7"/>
      <c r="E30" s="7" t="s">
        <v>34</v>
      </c>
      <c r="F30" s="7" t="s">
        <v>27</v>
      </c>
      <c r="G30" s="7"/>
      <c r="H30" s="7"/>
      <c r="I30" s="7"/>
      <c r="J30" s="7">
        <v>11900</v>
      </c>
      <c r="K30" s="7"/>
      <c r="L30" s="7"/>
      <c r="M30" s="7"/>
      <c r="N30" s="7"/>
      <c r="O30" s="7"/>
      <c r="P30" s="7"/>
      <c r="Q30" s="7"/>
      <c r="R30" s="7"/>
      <c r="S30" s="11">
        <f t="shared" si="0"/>
        <v>11900</v>
      </c>
    </row>
    <row r="31" spans="1:19" x14ac:dyDescent="0.3">
      <c r="A31" s="10"/>
      <c r="B31" s="7"/>
      <c r="C31" s="7"/>
      <c r="D31" s="7"/>
      <c r="E31" s="7"/>
      <c r="F31" s="7" t="s">
        <v>28</v>
      </c>
      <c r="G31" s="7"/>
      <c r="H31" s="7"/>
      <c r="I31" s="7"/>
      <c r="J31" s="7">
        <v>11900</v>
      </c>
      <c r="K31" s="7"/>
      <c r="L31" s="7"/>
      <c r="M31" s="7"/>
      <c r="N31" s="7"/>
      <c r="O31" s="7"/>
      <c r="P31" s="7"/>
      <c r="Q31" s="7"/>
      <c r="R31" s="7"/>
      <c r="S31" s="11">
        <f t="shared" si="0"/>
        <v>11900</v>
      </c>
    </row>
    <row r="32" spans="1:19" x14ac:dyDescent="0.3">
      <c r="A32" s="10" t="s">
        <v>42</v>
      </c>
      <c r="B32" s="8">
        <v>3</v>
      </c>
      <c r="C32" s="8">
        <v>35000</v>
      </c>
      <c r="D32" s="7"/>
      <c r="E32" s="7" t="s">
        <v>34</v>
      </c>
      <c r="F32" s="7" t="s">
        <v>27</v>
      </c>
      <c r="G32" s="7"/>
      <c r="H32" s="7"/>
      <c r="I32" s="7"/>
      <c r="J32" s="7"/>
      <c r="K32" s="7"/>
      <c r="L32" s="7"/>
      <c r="M32" s="7">
        <v>23500</v>
      </c>
      <c r="N32" s="7"/>
      <c r="O32" s="7"/>
      <c r="P32" s="7"/>
      <c r="Q32" s="7"/>
      <c r="R32" s="7"/>
      <c r="S32" s="11">
        <f t="shared" si="0"/>
        <v>23500</v>
      </c>
    </row>
    <row r="33" spans="1:19" x14ac:dyDescent="0.3">
      <c r="A33" s="10"/>
      <c r="B33" s="7"/>
      <c r="C33" s="7"/>
      <c r="D33" s="7"/>
      <c r="E33" s="7"/>
      <c r="F33" s="7" t="s">
        <v>28</v>
      </c>
      <c r="G33" s="7"/>
      <c r="H33" s="7"/>
      <c r="I33" s="7"/>
      <c r="J33" s="7"/>
      <c r="K33" s="7"/>
      <c r="L33" s="7"/>
      <c r="M33" s="7">
        <v>23500</v>
      </c>
      <c r="N33" s="7"/>
      <c r="O33" s="7"/>
      <c r="P33" s="7"/>
      <c r="Q33" s="7"/>
      <c r="R33" s="7"/>
      <c r="S33" s="11">
        <f t="shared" si="0"/>
        <v>23500</v>
      </c>
    </row>
    <row r="34" spans="1:19" x14ac:dyDescent="0.3">
      <c r="A34" s="10" t="s">
        <v>43</v>
      </c>
      <c r="B34" s="8">
        <v>1</v>
      </c>
      <c r="C34" s="8">
        <v>115000</v>
      </c>
      <c r="D34" s="7"/>
      <c r="E34" s="7" t="s">
        <v>34</v>
      </c>
      <c r="F34" s="7" t="s">
        <v>27</v>
      </c>
      <c r="G34" s="7"/>
      <c r="H34" s="7"/>
      <c r="I34" s="7"/>
      <c r="J34" s="7"/>
      <c r="K34" s="7"/>
      <c r="L34" s="7"/>
      <c r="M34" s="7">
        <v>115000</v>
      </c>
      <c r="N34" s="7"/>
      <c r="O34" s="7"/>
      <c r="P34" s="7"/>
      <c r="Q34" s="7"/>
      <c r="R34" s="7"/>
      <c r="S34" s="11">
        <f t="shared" si="0"/>
        <v>115000</v>
      </c>
    </row>
    <row r="35" spans="1:19" x14ac:dyDescent="0.3">
      <c r="A35" s="10"/>
      <c r="B35" s="7"/>
      <c r="C35" s="7"/>
      <c r="D35" s="7"/>
      <c r="E35" s="7"/>
      <c r="F35" s="7" t="s">
        <v>28</v>
      </c>
      <c r="G35" s="7"/>
      <c r="H35" s="7"/>
      <c r="I35" s="7"/>
      <c r="J35" s="7"/>
      <c r="K35" s="7"/>
      <c r="L35" s="7"/>
      <c r="M35" s="7">
        <v>115000</v>
      </c>
      <c r="N35" s="7"/>
      <c r="O35" s="7"/>
      <c r="P35" s="7"/>
      <c r="Q35" s="7"/>
      <c r="R35" s="7"/>
      <c r="S35" s="11">
        <f t="shared" si="0"/>
        <v>115000</v>
      </c>
    </row>
    <row r="36" spans="1:19" x14ac:dyDescent="0.3">
      <c r="A36" s="10" t="s">
        <v>44</v>
      </c>
      <c r="B36" s="8">
        <v>30</v>
      </c>
      <c r="C36" s="8">
        <v>4500</v>
      </c>
      <c r="D36" s="7"/>
      <c r="E36" s="7" t="s">
        <v>34</v>
      </c>
      <c r="F36" s="7" t="s">
        <v>27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11">
        <f t="shared" si="0"/>
        <v>0</v>
      </c>
    </row>
    <row r="37" spans="1:19" x14ac:dyDescent="0.3">
      <c r="A37" s="10"/>
      <c r="B37" s="7"/>
      <c r="C37" s="7"/>
      <c r="D37" s="7"/>
      <c r="E37" s="7"/>
      <c r="F37" s="7" t="s">
        <v>28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11">
        <f t="shared" si="0"/>
        <v>0</v>
      </c>
    </row>
    <row r="38" spans="1:19" x14ac:dyDescent="0.3">
      <c r="A38" s="10" t="s">
        <v>45</v>
      </c>
      <c r="B38" s="8">
        <v>3</v>
      </c>
      <c r="C38" s="8">
        <v>40000</v>
      </c>
      <c r="D38" s="7"/>
      <c r="E38" s="7" t="s">
        <v>34</v>
      </c>
      <c r="F38" s="7" t="s">
        <v>27</v>
      </c>
      <c r="G38" s="7"/>
      <c r="H38" s="7"/>
      <c r="I38" s="7"/>
      <c r="J38" s="7"/>
      <c r="K38" s="7"/>
      <c r="L38" s="7"/>
      <c r="M38" s="7"/>
      <c r="N38" s="7">
        <v>20000</v>
      </c>
      <c r="O38" s="7"/>
      <c r="P38" s="7"/>
      <c r="Q38" s="7"/>
      <c r="R38" s="7"/>
      <c r="S38" s="11">
        <f t="shared" si="0"/>
        <v>20000</v>
      </c>
    </row>
    <row r="39" spans="1:19" x14ac:dyDescent="0.3">
      <c r="A39" s="10"/>
      <c r="B39" s="7"/>
      <c r="C39" s="7"/>
      <c r="D39" s="7"/>
      <c r="E39" s="7"/>
      <c r="F39" s="7" t="s">
        <v>28</v>
      </c>
      <c r="G39" s="7"/>
      <c r="H39" s="7"/>
      <c r="I39" s="7"/>
      <c r="J39" s="7"/>
      <c r="K39" s="7"/>
      <c r="L39" s="7"/>
      <c r="M39" s="7"/>
      <c r="N39" s="7">
        <v>20000</v>
      </c>
      <c r="O39" s="7"/>
      <c r="P39" s="7"/>
      <c r="Q39" s="7"/>
      <c r="R39" s="7"/>
      <c r="S39" s="11">
        <f t="shared" si="0"/>
        <v>20000</v>
      </c>
    </row>
    <row r="40" spans="1:19" x14ac:dyDescent="0.3">
      <c r="A40" s="10" t="s">
        <v>46</v>
      </c>
      <c r="B40" s="8">
        <v>1</v>
      </c>
      <c r="C40" s="8">
        <v>100000</v>
      </c>
      <c r="D40" s="7"/>
      <c r="E40" s="7" t="s">
        <v>34</v>
      </c>
      <c r="F40" s="7" t="s">
        <v>27</v>
      </c>
      <c r="G40" s="7"/>
      <c r="H40" s="7"/>
      <c r="I40" s="7"/>
      <c r="J40" s="7">
        <v>27500</v>
      </c>
      <c r="K40" s="7"/>
      <c r="L40" s="7"/>
      <c r="M40" s="7"/>
      <c r="N40" s="7"/>
      <c r="O40" s="7"/>
      <c r="P40" s="7"/>
      <c r="Q40" s="7"/>
      <c r="R40" s="7"/>
      <c r="S40" s="11">
        <f t="shared" si="0"/>
        <v>27500</v>
      </c>
    </row>
    <row r="41" spans="1:19" x14ac:dyDescent="0.3">
      <c r="A41" s="10"/>
      <c r="B41" s="7"/>
      <c r="C41" s="7"/>
      <c r="D41" s="7"/>
      <c r="E41" s="7"/>
      <c r="F41" s="7" t="s">
        <v>28</v>
      </c>
      <c r="G41" s="7"/>
      <c r="H41" s="7"/>
      <c r="I41" s="7"/>
      <c r="J41" s="7">
        <v>27500</v>
      </c>
      <c r="K41" s="7"/>
      <c r="L41" s="7"/>
      <c r="M41" s="7"/>
      <c r="N41" s="7"/>
      <c r="O41" s="7"/>
      <c r="P41" s="7"/>
      <c r="Q41" s="7"/>
      <c r="R41" s="7"/>
      <c r="S41" s="11">
        <f t="shared" si="0"/>
        <v>27500</v>
      </c>
    </row>
    <row r="42" spans="1:19" x14ac:dyDescent="0.3">
      <c r="A42" s="10" t="s">
        <v>47</v>
      </c>
      <c r="B42" s="8">
        <v>4</v>
      </c>
      <c r="C42" s="8">
        <v>15000</v>
      </c>
      <c r="D42" s="7"/>
      <c r="E42" s="7" t="s">
        <v>34</v>
      </c>
      <c r="F42" s="7" t="s">
        <v>27</v>
      </c>
      <c r="G42" s="7"/>
      <c r="H42" s="7"/>
      <c r="I42" s="7"/>
      <c r="J42" s="7"/>
      <c r="K42" s="7"/>
      <c r="L42" s="7"/>
      <c r="M42" s="7"/>
      <c r="N42" s="7">
        <v>22000</v>
      </c>
      <c r="O42" s="7"/>
      <c r="P42" s="7"/>
      <c r="Q42" s="7"/>
      <c r="R42" s="7"/>
      <c r="S42" s="11">
        <f t="shared" si="0"/>
        <v>22000</v>
      </c>
    </row>
    <row r="43" spans="1:19" x14ac:dyDescent="0.3">
      <c r="A43" s="10"/>
      <c r="B43" s="7"/>
      <c r="C43" s="7"/>
      <c r="D43" s="7"/>
      <c r="E43" s="7"/>
      <c r="F43" s="7" t="s">
        <v>28</v>
      </c>
      <c r="G43" s="7"/>
      <c r="H43" s="7"/>
      <c r="I43" s="7"/>
      <c r="J43" s="7"/>
      <c r="K43" s="7"/>
      <c r="L43" s="7"/>
      <c r="M43" s="7"/>
      <c r="N43" s="7">
        <v>22000</v>
      </c>
      <c r="O43" s="7"/>
      <c r="P43" s="7"/>
      <c r="Q43" s="7"/>
      <c r="R43" s="7"/>
      <c r="S43" s="11">
        <f t="shared" si="0"/>
        <v>22000</v>
      </c>
    </row>
    <row r="44" spans="1:19" x14ac:dyDescent="0.3">
      <c r="A44" s="10" t="s">
        <v>48</v>
      </c>
      <c r="B44" s="8">
        <v>5</v>
      </c>
      <c r="C44" s="8">
        <v>100000</v>
      </c>
      <c r="D44" s="7"/>
      <c r="E44" s="7" t="s">
        <v>34</v>
      </c>
      <c r="F44" s="7" t="s">
        <v>27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11">
        <f t="shared" si="0"/>
        <v>0</v>
      </c>
    </row>
    <row r="45" spans="1:19" x14ac:dyDescent="0.3">
      <c r="A45" s="10"/>
      <c r="B45" s="7"/>
      <c r="C45" s="7"/>
      <c r="D45" s="7"/>
      <c r="E45" s="7"/>
      <c r="F45" s="7" t="s">
        <v>28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11">
        <f t="shared" si="0"/>
        <v>0</v>
      </c>
    </row>
    <row r="46" spans="1:19" x14ac:dyDescent="0.3">
      <c r="A46" s="10" t="s">
        <v>49</v>
      </c>
      <c r="B46" s="7" t="s">
        <v>5</v>
      </c>
      <c r="C46" s="7" t="s">
        <v>6</v>
      </c>
      <c r="D46" s="7" t="s">
        <v>7</v>
      </c>
      <c r="E46" s="7" t="s">
        <v>50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11">
        <f t="shared" si="0"/>
        <v>0</v>
      </c>
    </row>
    <row r="47" spans="1:19" x14ac:dyDescent="0.3">
      <c r="A47" s="10" t="s">
        <v>51</v>
      </c>
      <c r="B47" s="8">
        <v>1</v>
      </c>
      <c r="C47" s="8">
        <v>304650</v>
      </c>
      <c r="D47" s="7"/>
      <c r="E47" s="7" t="s">
        <v>52</v>
      </c>
      <c r="F47" s="7" t="s">
        <v>27</v>
      </c>
      <c r="G47" s="7">
        <v>304650</v>
      </c>
      <c r="H47" s="7"/>
      <c r="I47" s="7"/>
      <c r="J47" s="7"/>
      <c r="K47" s="7"/>
      <c r="L47" s="7">
        <v>495367</v>
      </c>
      <c r="M47" s="7"/>
      <c r="N47" s="7"/>
      <c r="O47" s="7"/>
      <c r="P47" s="7">
        <v>951770</v>
      </c>
      <c r="Q47" s="7"/>
      <c r="R47" s="7"/>
      <c r="S47" s="11">
        <f t="shared" si="0"/>
        <v>1751787</v>
      </c>
    </row>
    <row r="48" spans="1:19" x14ac:dyDescent="0.3">
      <c r="A48" s="10"/>
      <c r="B48" s="7"/>
      <c r="C48" s="7"/>
      <c r="D48" s="7"/>
      <c r="E48" s="7"/>
      <c r="F48" s="7" t="s">
        <v>28</v>
      </c>
      <c r="G48" s="7">
        <v>304650</v>
      </c>
      <c r="H48" s="7"/>
      <c r="I48" s="7"/>
      <c r="J48" s="7"/>
      <c r="K48" s="7"/>
      <c r="L48" s="7">
        <v>495367</v>
      </c>
      <c r="M48" s="7"/>
      <c r="N48" s="7"/>
      <c r="O48" s="7"/>
      <c r="P48" s="7">
        <v>951770</v>
      </c>
      <c r="Q48" s="7"/>
      <c r="R48" s="7"/>
      <c r="S48" s="11">
        <f t="shared" si="0"/>
        <v>1751787</v>
      </c>
    </row>
    <row r="49" spans="1:19" x14ac:dyDescent="0.3">
      <c r="A49" s="10" t="s">
        <v>53</v>
      </c>
      <c r="B49" s="8">
        <v>8</v>
      </c>
      <c r="C49" s="8">
        <v>600372</v>
      </c>
      <c r="D49" s="7"/>
      <c r="E49" s="7" t="s">
        <v>52</v>
      </c>
      <c r="F49" s="7" t="s">
        <v>27</v>
      </c>
      <c r="G49" s="7">
        <v>429262</v>
      </c>
      <c r="H49" s="7"/>
      <c r="I49" s="7">
        <v>429262</v>
      </c>
      <c r="J49" s="7">
        <v>600372</v>
      </c>
      <c r="K49" s="7">
        <v>600372</v>
      </c>
      <c r="L49" s="7"/>
      <c r="M49" s="7"/>
      <c r="N49" s="7"/>
      <c r="O49" s="7"/>
      <c r="P49" s="7"/>
      <c r="Q49" s="7"/>
      <c r="R49" s="7"/>
      <c r="S49" s="11">
        <f t="shared" si="0"/>
        <v>2059268</v>
      </c>
    </row>
    <row r="50" spans="1:19" x14ac:dyDescent="0.3">
      <c r="A50" s="10"/>
      <c r="B50" s="7"/>
      <c r="C50" s="7"/>
      <c r="D50" s="7"/>
      <c r="E50" s="7"/>
      <c r="F50" s="7" t="s">
        <v>28</v>
      </c>
      <c r="G50" s="7">
        <v>429262</v>
      </c>
      <c r="H50" s="7"/>
      <c r="I50" s="7">
        <v>429262</v>
      </c>
      <c r="J50" s="7">
        <v>600372</v>
      </c>
      <c r="K50" s="7">
        <v>600372</v>
      </c>
      <c r="L50" s="7"/>
      <c r="M50" s="7"/>
      <c r="N50" s="7"/>
      <c r="O50" s="7"/>
      <c r="P50" s="7"/>
      <c r="Q50" s="7"/>
      <c r="R50" s="7"/>
      <c r="S50" s="11">
        <f t="shared" si="0"/>
        <v>2059268</v>
      </c>
    </row>
    <row r="51" spans="1:19" x14ac:dyDescent="0.3">
      <c r="A51" s="10" t="s">
        <v>54</v>
      </c>
      <c r="B51" s="7" t="s">
        <v>5</v>
      </c>
      <c r="C51" s="7" t="s">
        <v>6</v>
      </c>
      <c r="D51" s="7" t="s">
        <v>7</v>
      </c>
      <c r="E51" s="7" t="s">
        <v>50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11">
        <f t="shared" si="0"/>
        <v>0</v>
      </c>
    </row>
    <row r="52" spans="1:19" x14ac:dyDescent="0.3">
      <c r="A52" s="10" t="s">
        <v>55</v>
      </c>
      <c r="B52" s="8">
        <v>6</v>
      </c>
      <c r="C52" s="7"/>
      <c r="D52" s="7"/>
      <c r="E52" s="7" t="s">
        <v>56</v>
      </c>
      <c r="F52" s="7" t="s">
        <v>27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1">
        <f t="shared" si="0"/>
        <v>0</v>
      </c>
    </row>
    <row r="53" spans="1:19" x14ac:dyDescent="0.3">
      <c r="A53" s="10"/>
      <c r="B53" s="7"/>
      <c r="C53" s="7"/>
      <c r="D53" s="7"/>
      <c r="E53" s="7"/>
      <c r="F53" s="7" t="s">
        <v>28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11">
        <f t="shared" si="0"/>
        <v>0</v>
      </c>
    </row>
    <row r="54" spans="1:19" x14ac:dyDescent="0.3">
      <c r="A54" s="10" t="s">
        <v>57</v>
      </c>
      <c r="B54" s="8">
        <v>6</v>
      </c>
      <c r="C54" s="7"/>
      <c r="D54" s="7"/>
      <c r="E54" s="7" t="s">
        <v>56</v>
      </c>
      <c r="F54" s="7" t="s">
        <v>27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11">
        <f t="shared" si="0"/>
        <v>0</v>
      </c>
    </row>
    <row r="55" spans="1:19" x14ac:dyDescent="0.3">
      <c r="A55" s="10"/>
      <c r="B55" s="7"/>
      <c r="C55" s="7"/>
      <c r="D55" s="7"/>
      <c r="E55" s="7"/>
      <c r="F55" s="7" t="s">
        <v>28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11">
        <f t="shared" si="0"/>
        <v>0</v>
      </c>
    </row>
    <row r="56" spans="1:19" x14ac:dyDescent="0.3">
      <c r="A56" s="10" t="s">
        <v>58</v>
      </c>
      <c r="B56" s="8">
        <v>6</v>
      </c>
      <c r="C56" s="7"/>
      <c r="D56" s="7"/>
      <c r="E56" s="7" t="s">
        <v>56</v>
      </c>
      <c r="F56" s="7" t="s">
        <v>27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11">
        <f t="shared" si="0"/>
        <v>0</v>
      </c>
    </row>
    <row r="57" spans="1:19" x14ac:dyDescent="0.3">
      <c r="A57" s="10"/>
      <c r="B57" s="7"/>
      <c r="C57" s="7"/>
      <c r="D57" s="7"/>
      <c r="E57" s="7"/>
      <c r="F57" s="7" t="s">
        <v>28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11">
        <f t="shared" si="0"/>
        <v>0</v>
      </c>
    </row>
    <row r="58" spans="1:19" x14ac:dyDescent="0.3">
      <c r="A58" s="10" t="s">
        <v>59</v>
      </c>
      <c r="B58" s="7" t="s">
        <v>5</v>
      </c>
      <c r="C58" s="7" t="s">
        <v>6</v>
      </c>
      <c r="D58" s="7" t="s">
        <v>7</v>
      </c>
      <c r="E58" s="7" t="s">
        <v>50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11">
        <f t="shared" si="0"/>
        <v>0</v>
      </c>
    </row>
    <row r="59" spans="1:19" x14ac:dyDescent="0.3">
      <c r="A59" s="10" t="s">
        <v>60</v>
      </c>
      <c r="B59" s="7" t="s">
        <v>61</v>
      </c>
      <c r="C59" s="8">
        <v>1800000</v>
      </c>
      <c r="D59" s="7"/>
      <c r="E59" s="7"/>
      <c r="F59" s="7" t="s">
        <v>27</v>
      </c>
      <c r="G59" s="7">
        <v>1800000</v>
      </c>
      <c r="H59" s="7">
        <v>1800000</v>
      </c>
      <c r="I59" s="7">
        <v>1800000</v>
      </c>
      <c r="J59" s="7">
        <v>1800000</v>
      </c>
      <c r="K59" s="7">
        <v>1800000</v>
      </c>
      <c r="L59" s="7">
        <v>1800000</v>
      </c>
      <c r="M59" s="7">
        <v>1800000</v>
      </c>
      <c r="N59" s="7">
        <v>1800000</v>
      </c>
      <c r="O59" s="7">
        <v>1800000</v>
      </c>
      <c r="P59" s="7">
        <v>1800000</v>
      </c>
      <c r="Q59" s="7">
        <v>1800000</v>
      </c>
      <c r="R59" s="7">
        <v>1800000</v>
      </c>
      <c r="S59" s="11">
        <f t="shared" si="0"/>
        <v>21600000</v>
      </c>
    </row>
    <row r="60" spans="1:19" x14ac:dyDescent="0.3">
      <c r="A60" s="10"/>
      <c r="B60" s="7"/>
      <c r="C60" s="7"/>
      <c r="D60" s="7"/>
      <c r="E60" s="7"/>
      <c r="F60" s="7" t="s">
        <v>28</v>
      </c>
      <c r="G60" s="7">
        <v>1800000</v>
      </c>
      <c r="H60" s="7">
        <v>1800000</v>
      </c>
      <c r="I60" s="7">
        <v>1800000</v>
      </c>
      <c r="J60" s="7">
        <v>1800000</v>
      </c>
      <c r="K60" s="7">
        <v>1800000</v>
      </c>
      <c r="L60" s="7">
        <v>1800000</v>
      </c>
      <c r="M60" s="7">
        <v>1800000</v>
      </c>
      <c r="N60" s="7">
        <v>1800000</v>
      </c>
      <c r="O60" s="7">
        <v>1800000</v>
      </c>
      <c r="P60" s="7">
        <v>1800000</v>
      </c>
      <c r="Q60" s="7">
        <v>1800000</v>
      </c>
      <c r="R60" s="7">
        <v>1800000</v>
      </c>
      <c r="S60" s="11">
        <f t="shared" si="0"/>
        <v>21600000</v>
      </c>
    </row>
    <row r="61" spans="1:19" x14ac:dyDescent="0.3">
      <c r="A61" s="10" t="s">
        <v>62</v>
      </c>
      <c r="B61" s="7" t="s">
        <v>61</v>
      </c>
      <c r="C61" s="8">
        <v>500000</v>
      </c>
      <c r="D61" s="7"/>
      <c r="E61" s="7" t="s">
        <v>63</v>
      </c>
      <c r="F61" s="7" t="s">
        <v>27</v>
      </c>
      <c r="G61" s="7">
        <v>26000</v>
      </c>
      <c r="H61" s="7"/>
      <c r="I61" s="7"/>
      <c r="J61" s="7"/>
      <c r="K61" s="7"/>
      <c r="L61" s="7"/>
      <c r="M61" s="7">
        <v>26000</v>
      </c>
      <c r="N61" s="7"/>
      <c r="O61" s="7"/>
      <c r="P61" s="7"/>
      <c r="Q61" s="7">
        <v>26000</v>
      </c>
      <c r="R61" s="7"/>
      <c r="S61" s="11">
        <f t="shared" si="0"/>
        <v>78000</v>
      </c>
    </row>
    <row r="62" spans="1:19" x14ac:dyDescent="0.3">
      <c r="A62" s="10"/>
      <c r="B62" s="7"/>
      <c r="C62" s="7"/>
      <c r="D62" s="7"/>
      <c r="E62" s="7"/>
      <c r="F62" s="7" t="s">
        <v>28</v>
      </c>
      <c r="G62" s="7">
        <v>26000</v>
      </c>
      <c r="H62" s="7"/>
      <c r="I62" s="7"/>
      <c r="J62" s="7"/>
      <c r="K62" s="7"/>
      <c r="L62" s="7"/>
      <c r="M62" s="7">
        <v>26000</v>
      </c>
      <c r="N62" s="7"/>
      <c r="O62" s="7"/>
      <c r="P62" s="7"/>
      <c r="Q62" s="7">
        <v>20000</v>
      </c>
      <c r="R62" s="7"/>
      <c r="S62" s="11">
        <f t="shared" si="0"/>
        <v>72000</v>
      </c>
    </row>
    <row r="63" spans="1:19" x14ac:dyDescent="0.3">
      <c r="A63" s="10" t="s">
        <v>64</v>
      </c>
      <c r="B63" s="7" t="s">
        <v>5</v>
      </c>
      <c r="C63" s="7" t="s">
        <v>6</v>
      </c>
      <c r="D63" s="7" t="s">
        <v>7</v>
      </c>
      <c r="E63" s="7" t="s">
        <v>50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11">
        <f t="shared" si="0"/>
        <v>0</v>
      </c>
    </row>
    <row r="64" spans="1:19" x14ac:dyDescent="0.3">
      <c r="A64" s="10" t="s">
        <v>65</v>
      </c>
      <c r="B64" s="8">
        <v>50</v>
      </c>
      <c r="C64" s="8">
        <v>4000</v>
      </c>
      <c r="D64" s="7"/>
      <c r="E64" s="7" t="s">
        <v>34</v>
      </c>
      <c r="F64" s="7" t="s">
        <v>27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11">
        <f t="shared" si="0"/>
        <v>0</v>
      </c>
    </row>
    <row r="65" spans="1:19" x14ac:dyDescent="0.3">
      <c r="A65" s="10"/>
      <c r="B65" s="7"/>
      <c r="C65" s="7"/>
      <c r="D65" s="7"/>
      <c r="E65" s="7"/>
      <c r="F65" s="7" t="s">
        <v>28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11">
        <f t="shared" si="0"/>
        <v>0</v>
      </c>
    </row>
    <row r="66" spans="1:19" x14ac:dyDescent="0.3">
      <c r="A66" s="10" t="s">
        <v>66</v>
      </c>
      <c r="B66" s="8">
        <v>50</v>
      </c>
      <c r="C66" s="8">
        <v>5000</v>
      </c>
      <c r="D66" s="7"/>
      <c r="E66" s="7" t="s">
        <v>34</v>
      </c>
      <c r="F66" s="7" t="s">
        <v>27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11">
        <f t="shared" si="0"/>
        <v>0</v>
      </c>
    </row>
    <row r="67" spans="1:19" x14ac:dyDescent="0.3">
      <c r="A67" s="10"/>
      <c r="B67" s="7"/>
      <c r="C67" s="7"/>
      <c r="D67" s="7"/>
      <c r="E67" s="7"/>
      <c r="F67" s="7" t="s">
        <v>28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11">
        <f t="shared" si="0"/>
        <v>0</v>
      </c>
    </row>
    <row r="68" spans="1:19" x14ac:dyDescent="0.3">
      <c r="A68" s="10" t="s">
        <v>67</v>
      </c>
      <c r="B68" s="8">
        <v>50</v>
      </c>
      <c r="C68" s="8">
        <v>5000</v>
      </c>
      <c r="D68" s="7"/>
      <c r="E68" s="7" t="s">
        <v>34</v>
      </c>
      <c r="F68" s="7" t="s">
        <v>27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11">
        <f t="shared" si="0"/>
        <v>0</v>
      </c>
    </row>
    <row r="69" spans="1:19" x14ac:dyDescent="0.3">
      <c r="A69" s="10"/>
      <c r="B69" s="7"/>
      <c r="C69" s="7"/>
      <c r="D69" s="7"/>
      <c r="E69" s="7"/>
      <c r="F69" s="7" t="s">
        <v>28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11">
        <f t="shared" si="0"/>
        <v>0</v>
      </c>
    </row>
    <row r="70" spans="1:19" x14ac:dyDescent="0.3">
      <c r="A70" s="10" t="s">
        <v>68</v>
      </c>
      <c r="B70" s="7" t="s">
        <v>5</v>
      </c>
      <c r="C70" s="7" t="s">
        <v>6</v>
      </c>
      <c r="D70" s="7" t="s">
        <v>7</v>
      </c>
      <c r="E70" s="7" t="s">
        <v>50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11">
        <f>SUM(G70:R70)</f>
        <v>0</v>
      </c>
    </row>
    <row r="71" spans="1:19" x14ac:dyDescent="0.3">
      <c r="A71" s="10" t="s">
        <v>69</v>
      </c>
      <c r="B71" s="8">
        <v>3</v>
      </c>
      <c r="C71" s="8">
        <v>143650</v>
      </c>
      <c r="D71" s="7"/>
      <c r="E71" s="7"/>
      <c r="F71" s="7" t="s">
        <v>27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11">
        <f>SUM(G71:R71)</f>
        <v>0</v>
      </c>
    </row>
    <row r="72" spans="1:19" x14ac:dyDescent="0.3">
      <c r="A72" s="10"/>
      <c r="B72" s="7"/>
      <c r="C72" s="7"/>
      <c r="D72" s="7"/>
      <c r="E72" s="7"/>
      <c r="F72" s="7" t="s">
        <v>28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11">
        <f>SUM(G72:R72)</f>
        <v>0</v>
      </c>
    </row>
    <row r="73" spans="1:19" x14ac:dyDescent="0.3">
      <c r="A73" s="10" t="s">
        <v>70</v>
      </c>
      <c r="B73" s="8">
        <v>2</v>
      </c>
      <c r="C73" s="8">
        <v>262360</v>
      </c>
      <c r="D73" s="7"/>
      <c r="E73" s="7"/>
      <c r="F73" s="7" t="s">
        <v>27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11">
        <f>SUM(G73:R73)</f>
        <v>0</v>
      </c>
    </row>
    <row r="74" spans="1:19" x14ac:dyDescent="0.3">
      <c r="A74" s="10"/>
      <c r="B74" s="7"/>
      <c r="C74" s="7"/>
      <c r="D74" s="7"/>
      <c r="E74" s="7"/>
      <c r="F74" s="7" t="s">
        <v>28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11">
        <f>SUM(G74:R74)</f>
        <v>0</v>
      </c>
    </row>
    <row r="75" spans="1:19" x14ac:dyDescent="0.3">
      <c r="A75" s="10" t="s">
        <v>71</v>
      </c>
      <c r="B75" s="8">
        <v>2</v>
      </c>
      <c r="C75" s="8">
        <v>262360</v>
      </c>
      <c r="D75" s="7"/>
      <c r="E75" s="7"/>
      <c r="F75" s="7" t="s">
        <v>27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11">
        <f>SUM(G75:R75)</f>
        <v>0</v>
      </c>
    </row>
    <row r="76" spans="1:19" x14ac:dyDescent="0.3">
      <c r="A76" s="10"/>
      <c r="B76" s="7"/>
      <c r="C76" s="7"/>
      <c r="D76" s="7"/>
      <c r="E76" s="7"/>
      <c r="F76" s="7" t="s">
        <v>28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11">
        <f>SUM(G76:R76)</f>
        <v>0</v>
      </c>
    </row>
    <row r="77" spans="1:19" x14ac:dyDescent="0.3">
      <c r="A77" s="10" t="s">
        <v>72</v>
      </c>
      <c r="B77" s="8">
        <v>5</v>
      </c>
      <c r="C77" s="8">
        <v>118000</v>
      </c>
      <c r="D77" s="7"/>
      <c r="E77" s="7"/>
      <c r="F77" s="7" t="s">
        <v>27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11">
        <f>SUM(G77:R77)</f>
        <v>0</v>
      </c>
    </row>
    <row r="78" spans="1:19" x14ac:dyDescent="0.3">
      <c r="A78" s="10"/>
      <c r="B78" s="7"/>
      <c r="C78" s="7"/>
      <c r="D78" s="7"/>
      <c r="E78" s="7"/>
      <c r="F78" s="7" t="s">
        <v>28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11">
        <f>SUM(G78:R78)</f>
        <v>0</v>
      </c>
    </row>
    <row r="79" spans="1:19" x14ac:dyDescent="0.3">
      <c r="A79" s="10" t="s">
        <v>73</v>
      </c>
      <c r="B79" s="8">
        <v>2</v>
      </c>
      <c r="C79" s="8">
        <v>150000</v>
      </c>
      <c r="D79" s="7"/>
      <c r="E79" s="7"/>
      <c r="F79" s="7" t="s">
        <v>27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11">
        <f>SUM(G79:R79)</f>
        <v>0</v>
      </c>
    </row>
    <row r="80" spans="1:19" x14ac:dyDescent="0.3">
      <c r="A80" s="10"/>
      <c r="B80" s="7"/>
      <c r="C80" s="7"/>
      <c r="D80" s="7"/>
      <c r="E80" s="7"/>
      <c r="F80" s="7" t="s">
        <v>28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11">
        <f>SUM(G80:R80)</f>
        <v>0</v>
      </c>
    </row>
    <row r="81" spans="1:19" x14ac:dyDescent="0.3">
      <c r="A81" s="10" t="s">
        <v>74</v>
      </c>
      <c r="B81" s="8">
        <v>1</v>
      </c>
      <c r="C81" s="8">
        <v>150000</v>
      </c>
      <c r="D81" s="7"/>
      <c r="E81" s="7"/>
      <c r="F81" s="7" t="s">
        <v>27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11">
        <f>SUM(G81:R81)</f>
        <v>0</v>
      </c>
    </row>
    <row r="82" spans="1:19" x14ac:dyDescent="0.3">
      <c r="A82" s="10"/>
      <c r="B82" s="7"/>
      <c r="C82" s="7"/>
      <c r="D82" s="7"/>
      <c r="E82" s="7"/>
      <c r="F82" s="7" t="s">
        <v>28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11">
        <f>SUM(G82:R82)</f>
        <v>0</v>
      </c>
    </row>
    <row r="83" spans="1:19" x14ac:dyDescent="0.3">
      <c r="A83" s="10" t="s">
        <v>75</v>
      </c>
      <c r="B83" s="8">
        <v>2</v>
      </c>
      <c r="C83" s="8">
        <v>450000</v>
      </c>
      <c r="D83" s="7"/>
      <c r="E83" s="7"/>
      <c r="F83" s="7" t="s">
        <v>27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11">
        <f>SUM(G83:R83)</f>
        <v>0</v>
      </c>
    </row>
    <row r="84" spans="1:19" x14ac:dyDescent="0.3">
      <c r="A84" s="10"/>
      <c r="B84" s="7"/>
      <c r="C84" s="7"/>
      <c r="D84" s="7"/>
      <c r="E84" s="7"/>
      <c r="F84" s="7" t="s">
        <v>28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11">
        <f>SUM(G84:R84)</f>
        <v>0</v>
      </c>
    </row>
    <row r="85" spans="1:19" x14ac:dyDescent="0.3">
      <c r="A85" s="10" t="s">
        <v>76</v>
      </c>
      <c r="B85" s="8">
        <v>3</v>
      </c>
      <c r="C85" s="8">
        <v>325000</v>
      </c>
      <c r="D85" s="7"/>
      <c r="E85" s="7"/>
      <c r="F85" s="7" t="s">
        <v>27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11">
        <f>SUM(G85:R85)</f>
        <v>0</v>
      </c>
    </row>
    <row r="86" spans="1:19" x14ac:dyDescent="0.3">
      <c r="A86" s="10"/>
      <c r="B86" s="7"/>
      <c r="C86" s="7"/>
      <c r="D86" s="7"/>
      <c r="E86" s="7"/>
      <c r="F86" s="7" t="s">
        <v>28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11">
        <f>SUM(G86:R86)</f>
        <v>0</v>
      </c>
    </row>
    <row r="87" spans="1:19" x14ac:dyDescent="0.3">
      <c r="A87" s="10" t="s">
        <v>77</v>
      </c>
      <c r="B87" s="8">
        <v>3</v>
      </c>
      <c r="C87" s="8">
        <v>237000</v>
      </c>
      <c r="D87" s="7"/>
      <c r="E87" s="7"/>
      <c r="F87" s="7" t="s">
        <v>27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11">
        <f>SUM(G87:R87)</f>
        <v>0</v>
      </c>
    </row>
    <row r="88" spans="1:19" x14ac:dyDescent="0.3">
      <c r="A88" s="10"/>
      <c r="B88" s="7"/>
      <c r="C88" s="7"/>
      <c r="D88" s="7"/>
      <c r="E88" s="7"/>
      <c r="F88" s="7" t="s">
        <v>28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11">
        <f>SUM(G88:R88)</f>
        <v>0</v>
      </c>
    </row>
    <row r="89" spans="1:19" x14ac:dyDescent="0.3">
      <c r="A89" s="10" t="s">
        <v>78</v>
      </c>
      <c r="B89" s="7" t="s">
        <v>5</v>
      </c>
      <c r="C89" s="7" t="s">
        <v>6</v>
      </c>
      <c r="D89" s="7" t="s">
        <v>7</v>
      </c>
      <c r="E89" s="7" t="s">
        <v>50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11">
        <f>SUM(G89:R89)</f>
        <v>0</v>
      </c>
    </row>
    <row r="90" spans="1:19" x14ac:dyDescent="0.3">
      <c r="A90" s="10" t="s">
        <v>79</v>
      </c>
      <c r="B90" s="8">
        <v>10</v>
      </c>
      <c r="C90" s="8">
        <v>10000</v>
      </c>
      <c r="D90" s="7"/>
      <c r="E90" s="7"/>
      <c r="F90" s="7" t="s">
        <v>27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11">
        <f>SUM(G90:R90)</f>
        <v>0</v>
      </c>
    </row>
    <row r="91" spans="1:19" x14ac:dyDescent="0.3">
      <c r="A91" s="10"/>
      <c r="B91" s="7"/>
      <c r="C91" s="7"/>
      <c r="D91" s="7"/>
      <c r="E91" s="7"/>
      <c r="F91" s="7" t="s">
        <v>28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11">
        <f>SUM(G91:R91)</f>
        <v>0</v>
      </c>
    </row>
    <row r="92" spans="1:19" x14ac:dyDescent="0.3">
      <c r="A92" s="10" t="s">
        <v>80</v>
      </c>
      <c r="B92" s="8">
        <v>5</v>
      </c>
      <c r="C92" s="8">
        <v>7000</v>
      </c>
      <c r="D92" s="7"/>
      <c r="E92" s="7"/>
      <c r="F92" s="7" t="s">
        <v>27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11">
        <f>SUM(G92:R92)</f>
        <v>0</v>
      </c>
    </row>
    <row r="93" spans="1:19" x14ac:dyDescent="0.3">
      <c r="A93" s="10"/>
      <c r="B93" s="7"/>
      <c r="C93" s="7"/>
      <c r="D93" s="7"/>
      <c r="E93" s="7"/>
      <c r="F93" s="7" t="s">
        <v>28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11">
        <f>SUM(G93:R93)</f>
        <v>0</v>
      </c>
    </row>
    <row r="94" spans="1:19" x14ac:dyDescent="0.3">
      <c r="A94" s="10" t="s">
        <v>81</v>
      </c>
      <c r="B94" s="8">
        <v>2</v>
      </c>
      <c r="C94" s="8">
        <v>12000</v>
      </c>
      <c r="D94" s="7"/>
      <c r="E94" s="7"/>
      <c r="F94" s="7" t="s">
        <v>27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11">
        <f>SUM(G94:R94)</f>
        <v>0</v>
      </c>
    </row>
    <row r="95" spans="1:19" x14ac:dyDescent="0.3">
      <c r="A95" s="10"/>
      <c r="B95" s="7"/>
      <c r="C95" s="7"/>
      <c r="D95" s="7"/>
      <c r="E95" s="7"/>
      <c r="F95" s="7" t="s">
        <v>28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11">
        <f>SUM(G95:R95)</f>
        <v>0</v>
      </c>
    </row>
    <row r="96" spans="1:19" x14ac:dyDescent="0.3">
      <c r="A96" s="10" t="s">
        <v>82</v>
      </c>
      <c r="B96" s="8">
        <v>3</v>
      </c>
      <c r="C96" s="8">
        <v>30000</v>
      </c>
      <c r="D96" s="7"/>
      <c r="E96" s="7"/>
      <c r="F96" s="7" t="s">
        <v>27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11">
        <f>SUM(G96:R96)</f>
        <v>0</v>
      </c>
    </row>
    <row r="97" spans="1:19" x14ac:dyDescent="0.3">
      <c r="A97" s="10"/>
      <c r="B97" s="7"/>
      <c r="C97" s="7"/>
      <c r="D97" s="7"/>
      <c r="E97" s="7"/>
      <c r="F97" s="7" t="s">
        <v>28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11">
        <f>SUM(G97:R97)</f>
        <v>0</v>
      </c>
    </row>
    <row r="98" spans="1:19" x14ac:dyDescent="0.3">
      <c r="A98" s="10" t="s">
        <v>83</v>
      </c>
      <c r="B98" s="8">
        <v>3</v>
      </c>
      <c r="C98" s="8">
        <v>20000</v>
      </c>
      <c r="D98" s="7"/>
      <c r="E98" s="7"/>
      <c r="F98" s="7" t="s">
        <v>27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11">
        <f>SUM(G98:R98)</f>
        <v>0</v>
      </c>
    </row>
    <row r="99" spans="1:19" x14ac:dyDescent="0.3">
      <c r="A99" s="10"/>
      <c r="B99" s="7"/>
      <c r="C99" s="7"/>
      <c r="D99" s="7"/>
      <c r="E99" s="7"/>
      <c r="F99" s="7" t="s">
        <v>28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11">
        <f>SUM(G99:R99)</f>
        <v>0</v>
      </c>
    </row>
    <row r="100" spans="1:19" x14ac:dyDescent="0.3">
      <c r="A100" s="10" t="s">
        <v>84</v>
      </c>
      <c r="B100" s="8">
        <v>2</v>
      </c>
      <c r="C100" s="8">
        <v>50000</v>
      </c>
      <c r="D100" s="7"/>
      <c r="E100" s="7"/>
      <c r="F100" s="7" t="s">
        <v>27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11">
        <f>SUM(G100:R100)</f>
        <v>0</v>
      </c>
    </row>
    <row r="101" spans="1:19" x14ac:dyDescent="0.3">
      <c r="A101" s="10"/>
      <c r="B101" s="7"/>
      <c r="C101" s="7"/>
      <c r="D101" s="7"/>
      <c r="E101" s="7"/>
      <c r="F101" s="7" t="s">
        <v>28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11">
        <f>SUM(G101:R101)</f>
        <v>0</v>
      </c>
    </row>
    <row r="102" spans="1:19" x14ac:dyDescent="0.3">
      <c r="A102" s="10"/>
      <c r="B102" s="7"/>
      <c r="C102" s="7"/>
      <c r="D102" s="7"/>
      <c r="E102" s="7"/>
      <c r="F102" s="7" t="s">
        <v>27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11">
        <f>SUM(G102:R102)</f>
        <v>0</v>
      </c>
    </row>
    <row r="103" spans="1:19" x14ac:dyDescent="0.3">
      <c r="A103" s="10"/>
      <c r="B103" s="7"/>
      <c r="C103" s="7"/>
      <c r="D103" s="7"/>
      <c r="E103" s="7"/>
      <c r="F103" s="7" t="s">
        <v>28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11">
        <f>SUM(G103:R103)</f>
        <v>0</v>
      </c>
    </row>
    <row r="104" spans="1:19" x14ac:dyDescent="0.3">
      <c r="A104" s="10" t="s">
        <v>85</v>
      </c>
      <c r="B104" s="7" t="s">
        <v>5</v>
      </c>
      <c r="C104" s="7" t="s">
        <v>6</v>
      </c>
      <c r="D104" s="7" t="s">
        <v>7</v>
      </c>
      <c r="E104" s="7" t="s">
        <v>50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11">
        <f>SUM(G104:R104)</f>
        <v>0</v>
      </c>
    </row>
    <row r="105" spans="1:19" x14ac:dyDescent="0.3">
      <c r="A105" s="10" t="s">
        <v>86</v>
      </c>
      <c r="B105" s="8">
        <v>2</v>
      </c>
      <c r="C105" s="8">
        <v>170000</v>
      </c>
      <c r="D105" s="7"/>
      <c r="E105" s="7" t="s">
        <v>87</v>
      </c>
      <c r="F105" s="7" t="s">
        <v>27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11">
        <f>SUM(G105:R105)</f>
        <v>0</v>
      </c>
    </row>
    <row r="106" spans="1:19" x14ac:dyDescent="0.3">
      <c r="A106" s="10"/>
      <c r="B106" s="7"/>
      <c r="C106" s="7"/>
      <c r="D106" s="7"/>
      <c r="E106" s="7"/>
      <c r="F106" s="7" t="s">
        <v>28</v>
      </c>
      <c r="G106" s="7"/>
      <c r="H106" s="7"/>
      <c r="I106" s="7"/>
      <c r="J106" s="7"/>
      <c r="K106" s="7"/>
      <c r="L106" s="7">
        <v>340000</v>
      </c>
      <c r="M106" s="7"/>
      <c r="N106" s="7"/>
      <c r="O106" s="7"/>
      <c r="P106" s="7"/>
      <c r="Q106" s="7"/>
      <c r="R106" s="7"/>
      <c r="S106" s="11">
        <f>SUM(G106:R106)</f>
        <v>340000</v>
      </c>
    </row>
    <row r="107" spans="1:19" x14ac:dyDescent="0.3">
      <c r="A107" s="10" t="s">
        <v>88</v>
      </c>
      <c r="B107" s="7" t="s">
        <v>5</v>
      </c>
      <c r="C107" s="7" t="s">
        <v>6</v>
      </c>
      <c r="D107" s="7" t="s">
        <v>7</v>
      </c>
      <c r="E107" s="7" t="s">
        <v>50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11">
        <f>SUM(G107:R107)</f>
        <v>0</v>
      </c>
    </row>
    <row r="108" spans="1:19" x14ac:dyDescent="0.3">
      <c r="A108" s="10" t="s">
        <v>89</v>
      </c>
      <c r="B108" s="8">
        <v>1</v>
      </c>
      <c r="C108" s="8">
        <v>1500000</v>
      </c>
      <c r="D108" s="7"/>
      <c r="E108" s="7"/>
      <c r="F108" s="7" t="s">
        <v>27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11">
        <f>SUM(G108:R108)</f>
        <v>0</v>
      </c>
    </row>
    <row r="109" spans="1:19" x14ac:dyDescent="0.3">
      <c r="A109" s="10"/>
      <c r="B109" s="7"/>
      <c r="C109" s="7"/>
      <c r="D109" s="7"/>
      <c r="E109" s="7"/>
      <c r="F109" s="7" t="s">
        <v>28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11">
        <f>SUM(G109:R109)</f>
        <v>0</v>
      </c>
    </row>
    <row r="110" spans="1:19" x14ac:dyDescent="0.3">
      <c r="A110" s="10" t="s">
        <v>90</v>
      </c>
      <c r="B110" s="7" t="s">
        <v>5</v>
      </c>
      <c r="C110" s="7" t="s">
        <v>6</v>
      </c>
      <c r="D110" s="7" t="s">
        <v>7</v>
      </c>
      <c r="E110" s="7" t="s">
        <v>50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11">
        <f>SUM(G110:R110)</f>
        <v>0</v>
      </c>
    </row>
    <row r="111" spans="1:19" x14ac:dyDescent="0.3">
      <c r="A111" s="10" t="s">
        <v>91</v>
      </c>
      <c r="B111" s="8">
        <v>1</v>
      </c>
      <c r="C111" s="8">
        <v>1800000</v>
      </c>
      <c r="D111" s="7"/>
      <c r="E111" s="7"/>
      <c r="F111" s="7" t="s">
        <v>27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11">
        <f>SUM(G111:R111)</f>
        <v>0</v>
      </c>
    </row>
    <row r="112" spans="1:19" x14ac:dyDescent="0.3">
      <c r="A112" s="10"/>
      <c r="B112" s="7"/>
      <c r="C112" s="7"/>
      <c r="D112" s="7"/>
      <c r="E112" s="7"/>
      <c r="F112" s="7" t="s">
        <v>28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11">
        <f>SUM(G112:R112)</f>
        <v>0</v>
      </c>
    </row>
    <row r="113" spans="1:19" x14ac:dyDescent="0.3">
      <c r="A113" s="10"/>
      <c r="B113" s="7"/>
      <c r="C113" s="7"/>
      <c r="D113" s="7"/>
      <c r="E113" s="7"/>
      <c r="F113" s="7" t="s">
        <v>27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11">
        <f>SUM(G113:R113)</f>
        <v>0</v>
      </c>
    </row>
    <row r="114" spans="1:19" x14ac:dyDescent="0.3">
      <c r="A114" s="15"/>
      <c r="B114" s="16"/>
      <c r="C114" s="16"/>
      <c r="D114" s="16"/>
      <c r="E114" s="16"/>
      <c r="F114" s="16" t="s">
        <v>28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7">
        <f>SUM(G114:R114)</f>
        <v>0</v>
      </c>
    </row>
    <row r="115" spans="1:19" x14ac:dyDescent="0.3">
      <c r="A115" s="4" t="s">
        <v>92</v>
      </c>
      <c r="B115" s="4"/>
      <c r="C115" s="4"/>
      <c r="D115" s="4"/>
      <c r="E115" s="4"/>
      <c r="F115" s="4"/>
      <c r="G115" s="4"/>
      <c r="H115" s="4"/>
      <c r="I115" s="4"/>
      <c r="J115" s="4"/>
      <c r="K115" s="4" t="s">
        <v>93</v>
      </c>
      <c r="L115" s="4"/>
      <c r="M115" s="4"/>
      <c r="N115" s="4"/>
      <c r="O115" s="4"/>
      <c r="P115" s="4"/>
      <c r="Q115" s="4"/>
      <c r="R115" s="4"/>
      <c r="S115" s="5">
        <f>SUM(S4:S113)</f>
        <v>59804510</v>
      </c>
    </row>
    <row r="116" spans="1:19" x14ac:dyDescent="0.3">
      <c r="A116" s="4" t="s">
        <v>94</v>
      </c>
      <c r="B116" s="4"/>
      <c r="C116" s="4"/>
      <c r="D116" s="4"/>
      <c r="E116" s="4"/>
      <c r="F116" s="4" t="s">
        <v>95</v>
      </c>
      <c r="G116" s="4"/>
      <c r="H116" s="4"/>
      <c r="I116" s="4"/>
      <c r="J116" s="4"/>
      <c r="K116" s="4" t="s">
        <v>96</v>
      </c>
      <c r="L116" s="4"/>
      <c r="M116" s="4"/>
      <c r="N116" s="4"/>
      <c r="O116" s="4"/>
      <c r="P116" s="4"/>
      <c r="Q116" s="4"/>
      <c r="R116" s="4"/>
      <c r="S116" s="4"/>
    </row>
    <row r="117" spans="1:19" x14ac:dyDescent="0.3">
      <c r="A117" s="4" t="s">
        <v>97</v>
      </c>
      <c r="B117" s="4"/>
      <c r="C117" s="4"/>
      <c r="D117" s="4"/>
      <c r="E117" s="4"/>
      <c r="F117" s="4" t="s">
        <v>97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x14ac:dyDescent="0.3">
      <c r="A118" s="4" t="s">
        <v>98</v>
      </c>
      <c r="B118" s="4"/>
      <c r="C118" s="4"/>
      <c r="D118" s="4"/>
      <c r="E118" s="4"/>
      <c r="F118" s="4" t="s">
        <v>98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x14ac:dyDescent="0.3">
      <c r="A119" s="4" t="s">
        <v>99</v>
      </c>
      <c r="B119" s="4" t="s">
        <v>100</v>
      </c>
      <c r="C119" s="4"/>
      <c r="D119" s="4"/>
      <c r="E119" s="4"/>
      <c r="F119" s="4" t="s">
        <v>99</v>
      </c>
      <c r="G119" s="4" t="s">
        <v>101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x14ac:dyDescent="0.3">
      <c r="A120" s="4" t="s">
        <v>102</v>
      </c>
      <c r="B120" s="4"/>
      <c r="C120" s="4"/>
      <c r="D120" s="4"/>
      <c r="E120" s="4"/>
      <c r="F120" s="4" t="s">
        <v>102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 Daniela Pulgarín Velásquez</cp:lastModifiedBy>
  <dcterms:created xsi:type="dcterms:W3CDTF">2026-05-27T17:43:16Z</dcterms:created>
  <dcterms:modified xsi:type="dcterms:W3CDTF">2026-05-27T17:51:19Z</dcterms:modified>
</cp:coreProperties>
</file>