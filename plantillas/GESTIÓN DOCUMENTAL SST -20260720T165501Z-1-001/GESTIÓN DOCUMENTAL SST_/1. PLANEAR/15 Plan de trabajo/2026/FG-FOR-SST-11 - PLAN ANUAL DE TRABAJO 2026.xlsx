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665" windowWidth="29040" windowHeight="15720" tabRatio="584" firstSheet="0" activeTab="0" autoFilterDateGrouping="1"/>
  </bookViews>
  <sheets>
    <sheet xmlns:r="http://schemas.openxmlformats.org/officeDocument/2006/relationships" name="PLAN ANUAL DE TRABAJO" sheetId="1" state="visible" r:id="rId1"/>
    <sheet xmlns:r="http://schemas.openxmlformats.org/officeDocument/2006/relationships" name="control de cambio" sheetId="2" state="visible" r:id="rId2"/>
  </sheets>
  <definedNames>
    <definedName name="_xlnm.Print_Titles" localSheetId="0">'PLAN ANUAL DE TRABAJO'!$1:$5</definedName>
    <definedName name="_xlnm.Print_Area" localSheetId="0">'PLAN ANUAL DE TRABAJO'!$A$1:$U$123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[$€-2]* #,##0.00_-;\-[$€-2]* #,##0.00_-;_-[$€-2]* &quot;-&quot;??_-"/>
  </numFmts>
  <fonts count="50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Arial Narrow"/>
      <family val="2"/>
      <sz val="10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10"/>
      <u val="single"/>
    </font>
    <font>
      <name val="Arial"/>
      <family val="2"/>
      <b val="1"/>
      <sz val="10"/>
    </font>
    <font>
      <name val="Times New Roman"/>
      <family val="1"/>
      <b val="1"/>
      <sz val="18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color theme="0" tint="-0.0499893185216834"/>
      <sz val="14"/>
    </font>
    <font>
      <name val="Times New Roman"/>
      <family val="1"/>
      <b val="1"/>
      <sz val="11"/>
    </font>
    <font>
      <name val="Times New Roman"/>
      <family val="1"/>
      <sz val="10"/>
    </font>
    <font>
      <name val="Times New Roman"/>
      <family val="1"/>
      <b val="1"/>
      <color theme="0" tint="-0.0499893185216834"/>
      <sz val="11"/>
    </font>
    <font>
      <name val="Times New Roman"/>
      <family val="1"/>
      <b val="1"/>
      <color theme="0" tint="-0.0499893185216834"/>
      <sz val="12"/>
    </font>
    <font>
      <name val="Times New Roman"/>
      <family val="1"/>
      <b val="1"/>
      <sz val="14"/>
    </font>
    <font>
      <name val="Times New Roman"/>
      <family val="1"/>
      <b val="1"/>
      <color theme="0" tint="-0.0499893185216834"/>
      <sz val="10"/>
    </font>
    <font>
      <name val="Times New Roman"/>
      <family val="1"/>
      <color theme="1"/>
      <sz val="11"/>
    </font>
    <font>
      <name val="Times New Roman"/>
      <family val="1"/>
      <b val="1"/>
      <color indexed="10"/>
      <sz val="11"/>
    </font>
    <font>
      <name val="Times New Roman"/>
      <family val="1"/>
      <b val="1"/>
      <color indexed="8"/>
      <sz val="11"/>
    </font>
    <font>
      <name val="Times New Roman"/>
      <family val="1"/>
      <color indexed="8"/>
      <sz val="11"/>
    </font>
    <font>
      <name val="Times New Roman"/>
      <family val="1"/>
      <b val="1"/>
      <color indexed="21"/>
      <sz val="11"/>
    </font>
    <font>
      <name val="Times New Roman"/>
      <family val="1"/>
      <color indexed="21"/>
      <sz val="11"/>
    </font>
    <font>
      <name val="Times New Roman"/>
      <family val="1"/>
      <sz val="8"/>
    </font>
    <font>
      <name val="Times New Roman"/>
      <family val="1"/>
      <sz val="11"/>
    </font>
    <font>
      <name val="Times New Roman"/>
      <family val="1"/>
      <color theme="0"/>
      <sz val="11"/>
    </font>
    <font>
      <name val="Times New Roman"/>
      <family val="1"/>
      <color theme="2" tint="-0.8999908444471572"/>
      <sz val="10"/>
    </font>
    <font>
      <name val="Times New Roman"/>
      <family val="1"/>
      <b val="1"/>
      <color rgb="FF00B050"/>
      <sz val="14"/>
    </font>
    <font>
      <name val="Times New Roman"/>
      <family val="1"/>
      <b val="1"/>
      <color rgb="FFFFC000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0"/>
      <sz val="11"/>
    </font>
    <font>
      <name val="Times New Roman"/>
      <family val="1"/>
      <b val="1"/>
      <color theme="0"/>
      <sz val="14"/>
    </font>
    <font>
      <name val="Times New Roman"/>
      <family val="1"/>
      <b val="1"/>
      <color theme="1"/>
      <sz val="11"/>
    </font>
    <font>
      <name val="Times New Roman"/>
      <family val="1"/>
      <sz val="10"/>
      <u val="single"/>
    </font>
    <font>
      <b val="1"/>
      <color rgb="00FFFFFF"/>
      <sz val="18"/>
    </font>
    <font>
      <b val="1"/>
      <color rgb="00FFFFFF"/>
      <sz val="12"/>
    </font>
    <font>
      <b val="1"/>
      <color rgb="00FFFFFF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8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5" borderId="0"/>
    <xf numFmtId="0" fontId="3" fillId="8" borderId="0"/>
    <xf numFmtId="0" fontId="3" fillId="11" borderId="0"/>
    <xf numFmtId="0" fontId="4" fillId="12" borderId="0"/>
    <xf numFmtId="0" fontId="4" fillId="9" borderId="0"/>
    <xf numFmtId="0" fontId="4" fillId="10" borderId="0"/>
    <xf numFmtId="0" fontId="4" fillId="13" borderId="0"/>
    <xf numFmtId="0" fontId="4" fillId="14" borderId="0"/>
    <xf numFmtId="0" fontId="4" fillId="15" borderId="0"/>
    <xf numFmtId="0" fontId="5" fillId="0" borderId="2"/>
    <xf numFmtId="0" fontId="6" fillId="0" borderId="0"/>
    <xf numFmtId="0" fontId="4" fillId="17" borderId="0"/>
    <xf numFmtId="0" fontId="4" fillId="18" borderId="0"/>
    <xf numFmtId="0" fontId="4" fillId="19" borderId="0"/>
    <xf numFmtId="0" fontId="4" fillId="13" borderId="0"/>
    <xf numFmtId="0" fontId="4" fillId="14" borderId="0"/>
    <xf numFmtId="0" fontId="4" fillId="20" borderId="0"/>
    <xf numFmtId="0" fontId="7" fillId="7" borderId="1"/>
    <xf numFmtId="164" fontId="8" fillId="0" borderId="0"/>
    <xf numFmtId="0" fontId="9" fillId="3" borderId="0"/>
    <xf numFmtId="0" fontId="10" fillId="21" borderId="0"/>
    <xf numFmtId="17" fontId="11" fillId="0" borderId="0"/>
    <xf numFmtId="9" fontId="11" fillId="0" borderId="0"/>
    <xf numFmtId="9" fontId="11" fillId="0" borderId="0"/>
    <xf numFmtId="0" fontId="12" fillId="16" borderId="3"/>
    <xf numFmtId="0" fontId="13" fillId="0" borderId="0"/>
    <xf numFmtId="0" fontId="14" fillId="0" borderId="4"/>
    <xf numFmtId="0" fontId="1" fillId="0" borderId="0"/>
  </cellStyleXfs>
  <cellXfs count="190">
    <xf numFmtId="0" fontId="0" fillId="0" borderId="0" pivotButton="0" quotePrefix="0" xfId="0"/>
    <xf numFmtId="0" fontId="18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4" fontId="0" fillId="0" borderId="5" applyAlignment="1" pivotButton="0" quotePrefix="0" xfId="0">
      <alignment horizontal="center"/>
    </xf>
    <xf numFmtId="0" fontId="18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19" fillId="24" borderId="30" applyAlignment="1" pivotButton="0" quotePrefix="0" xfId="0">
      <alignment horizontal="center" vertical="center" wrapText="1"/>
    </xf>
    <xf numFmtId="0" fontId="19" fillId="24" borderId="31" applyAlignment="1" pivotButton="0" quotePrefix="0" xfId="0">
      <alignment horizontal="center" vertical="center" wrapText="1"/>
    </xf>
    <xf numFmtId="0" fontId="19" fillId="24" borderId="34" applyAlignment="1" pivotButton="0" quotePrefix="0" xfId="0">
      <alignment horizontal="center" vertical="center" wrapText="1"/>
    </xf>
    <xf numFmtId="0" fontId="20" fillId="24" borderId="5" applyAlignment="1" pivotButton="0" quotePrefix="0" xfId="0">
      <alignment horizontal="left" vertical="center" wrapText="1"/>
    </xf>
    <xf numFmtId="0" fontId="22" fillId="0" borderId="0" pivotButton="0" quotePrefix="0" xfId="0"/>
    <xf numFmtId="0" fontId="22" fillId="0" borderId="0" pivotButton="0" quotePrefix="0" xfId="0"/>
    <xf numFmtId="0" fontId="19" fillId="24" borderId="36" applyAlignment="1" pivotButton="0" quotePrefix="0" xfId="0">
      <alignment horizontal="center" vertical="center" wrapText="1"/>
    </xf>
    <xf numFmtId="0" fontId="19" fillId="24" borderId="37" applyAlignment="1" pivotButton="0" quotePrefix="0" xfId="0">
      <alignment horizontal="center" vertical="center" wrapText="1"/>
    </xf>
    <xf numFmtId="0" fontId="19" fillId="24" borderId="0" applyAlignment="1" pivotButton="0" quotePrefix="0" xfId="0">
      <alignment horizontal="center" vertical="center" wrapText="1"/>
    </xf>
    <xf numFmtId="0" fontId="19" fillId="24" borderId="32" applyAlignment="1" pivotButton="0" quotePrefix="0" xfId="0">
      <alignment horizontal="center" vertical="center" wrapText="1"/>
    </xf>
    <xf numFmtId="0" fontId="19" fillId="24" borderId="33" applyAlignment="1" pivotButton="0" quotePrefix="0" xfId="0">
      <alignment horizontal="center" vertical="center" wrapText="1"/>
    </xf>
    <xf numFmtId="0" fontId="19" fillId="24" borderId="35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left" vertical="center"/>
    </xf>
    <xf numFmtId="0" fontId="21" fillId="0" borderId="9" applyAlignment="1" pivotButton="0" quotePrefix="0" xfId="0">
      <alignment horizontal="left" vertical="center"/>
    </xf>
    <xf numFmtId="0" fontId="21" fillId="0" borderId="16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0" fillId="0" borderId="5" applyAlignment="1" pivotButton="0" quotePrefix="0" xfId="0">
      <alignment horizontal="center" wrapText="1"/>
    </xf>
    <xf numFmtId="0" fontId="20" fillId="0" borderId="9" applyAlignment="1" pivotButton="0" quotePrefix="0" xfId="0">
      <alignment horizontal="center" wrapText="1"/>
    </xf>
    <xf numFmtId="0" fontId="20" fillId="0" borderId="15" applyAlignment="1" pivotButton="0" quotePrefix="0" xfId="0">
      <alignment horizontal="center" wrapText="1"/>
    </xf>
    <xf numFmtId="0" fontId="20" fillId="0" borderId="16" applyAlignment="1" pivotButton="0" quotePrefix="0" xfId="0">
      <alignment horizontal="center" wrapText="1"/>
    </xf>
    <xf numFmtId="0" fontId="23" fillId="25" borderId="5" applyAlignment="1" pivotButton="0" quotePrefix="0" xfId="0">
      <alignment horizontal="center" vertical="center"/>
    </xf>
    <xf numFmtId="0" fontId="24" fillId="25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25" borderId="5" applyAlignment="1" pivotButton="0" quotePrefix="0" xfId="0">
      <alignment horizontal="center" vertical="center"/>
    </xf>
    <xf numFmtId="0" fontId="27" fillId="25" borderId="5" applyAlignment="1" pivotButton="0" quotePrefix="0" xfId="0">
      <alignment horizontal="center" vertical="center" wrapText="1"/>
    </xf>
    <xf numFmtId="0" fontId="28" fillId="26" borderId="5" applyAlignment="1" pivotButton="0" quotePrefix="0" xfId="0">
      <alignment horizontal="center" vertical="center" wrapText="1"/>
    </xf>
    <xf numFmtId="17" fontId="27" fillId="25" borderId="5" applyAlignment="1" pivotButton="0" quotePrefix="0" xfId="31">
      <alignment horizontal="center" vertical="center" textRotation="90" wrapText="1"/>
    </xf>
    <xf numFmtId="17" fontId="27" fillId="25" borderId="30" applyAlignment="1" pivotButton="0" quotePrefix="0" xfId="31">
      <alignment horizontal="center" vertical="center" wrapText="1"/>
    </xf>
    <xf numFmtId="17" fontId="27" fillId="25" borderId="34" applyAlignment="1" pivotButton="0" quotePrefix="0" xfId="31">
      <alignment horizontal="center" vertical="center" wrapText="1"/>
    </xf>
    <xf numFmtId="17" fontId="27" fillId="25" borderId="31" applyAlignment="1" pivotButton="0" quotePrefix="0" xfId="31">
      <alignment horizontal="center" vertical="center" wrapText="1"/>
    </xf>
    <xf numFmtId="17" fontId="29" fillId="25" borderId="5" applyAlignment="1" pivotButton="0" quotePrefix="0" xfId="31">
      <alignment horizontal="center" vertical="center"/>
    </xf>
    <xf numFmtId="17" fontId="27" fillId="25" borderId="5" applyAlignment="1" pivotButton="0" quotePrefix="0" xfId="31">
      <alignment horizontal="center" vertical="center" wrapText="1"/>
    </xf>
    <xf numFmtId="17" fontId="26" fillId="25" borderId="5" applyAlignment="1" pivotButton="0" quotePrefix="0" xfId="31">
      <alignment horizontal="center" vertical="center"/>
    </xf>
    <xf numFmtId="17" fontId="27" fillId="25" borderId="36" applyAlignment="1" pivotButton="0" quotePrefix="0" xfId="31">
      <alignment horizontal="center" vertical="center" wrapText="1"/>
    </xf>
    <xf numFmtId="17" fontId="27" fillId="25" borderId="0" applyAlignment="1" pivotButton="0" quotePrefix="0" xfId="31">
      <alignment horizontal="center" vertical="center" wrapText="1"/>
    </xf>
    <xf numFmtId="17" fontId="27" fillId="25" borderId="37" applyAlignment="1" pivotButton="0" quotePrefix="0" xfId="31">
      <alignment horizontal="center" vertical="center" wrapText="1"/>
    </xf>
    <xf numFmtId="17" fontId="27" fillId="25" borderId="32" applyAlignment="1" pivotButton="0" quotePrefix="0" xfId="31">
      <alignment horizontal="center" vertical="center" wrapText="1"/>
    </xf>
    <xf numFmtId="17" fontId="27" fillId="25" borderId="35" applyAlignment="1" pivotButton="0" quotePrefix="0" xfId="31">
      <alignment horizontal="center" vertical="center" wrapText="1"/>
    </xf>
    <xf numFmtId="17" fontId="27" fillId="25" borderId="33" applyAlignment="1" pivotButton="0" quotePrefix="0" xfId="31">
      <alignment horizontal="center" vertical="center" wrapText="1"/>
    </xf>
    <xf numFmtId="1" fontId="30" fillId="0" borderId="5" applyAlignment="1" applyProtection="1" pivotButton="0" quotePrefix="0" xfId="31">
      <alignment horizontal="center" vertical="center" wrapText="1"/>
      <protection locked="0" hidden="0"/>
    </xf>
    <xf numFmtId="0" fontId="36" fillId="0" borderId="0" pivotButton="0" quotePrefix="0" xfId="0"/>
    <xf numFmtId="0" fontId="28" fillId="24" borderId="5" applyAlignment="1" pivotButton="0" quotePrefix="0" xfId="0">
      <alignment horizontal="center" vertical="center" textRotation="90" wrapText="1"/>
    </xf>
    <xf numFmtId="0" fontId="37" fillId="0" borderId="5" applyAlignment="1" pivotButton="0" quotePrefix="0" xfId="0">
      <alignment horizontal="center" vertical="center" wrapText="1"/>
    </xf>
    <xf numFmtId="0" fontId="24" fillId="22" borderId="5" applyAlignment="1" pivotButton="0" quotePrefix="0" xfId="0">
      <alignment horizontal="center" vertical="center" wrapText="1"/>
    </xf>
    <xf numFmtId="1" fontId="30" fillId="0" borderId="5" applyAlignment="1" applyProtection="1" pivotButton="0" quotePrefix="0" xfId="31">
      <alignment horizontal="center" vertical="center"/>
      <protection locked="0" hidden="0"/>
    </xf>
    <xf numFmtId="9" fontId="30" fillId="24" borderId="8" applyAlignment="1" applyProtection="1" pivotButton="0" quotePrefix="0" xfId="32">
      <alignment horizontal="center" vertical="center"/>
      <protection locked="0" hidden="0"/>
    </xf>
    <xf numFmtId="9" fontId="38" fillId="0" borderId="5" applyAlignment="1" applyProtection="1" pivotButton="0" quotePrefix="0" xfId="32">
      <alignment horizontal="center" vertical="center"/>
      <protection locked="0" hidden="0"/>
    </xf>
    <xf numFmtId="17" fontId="39" fillId="0" borderId="5" applyAlignment="1" applyProtection="1" pivotButton="0" quotePrefix="0" xfId="31">
      <alignment horizontal="center" vertical="center" wrapText="1"/>
      <protection locked="0" hidden="0"/>
    </xf>
    <xf numFmtId="17" fontId="39" fillId="24" borderId="5" applyAlignment="1" applyProtection="1" pivotButton="0" quotePrefix="0" xfId="31">
      <alignment horizontal="center" vertical="center" wrapText="1"/>
      <protection locked="0" hidden="0"/>
    </xf>
    <xf numFmtId="0" fontId="37" fillId="24" borderId="8" applyAlignment="1" pivotButton="0" quotePrefix="0" xfId="0">
      <alignment horizontal="center" vertical="center" wrapText="1"/>
    </xf>
    <xf numFmtId="0" fontId="36" fillId="24" borderId="0" pivotButton="0" quotePrefix="0" xfId="0"/>
    <xf numFmtId="0" fontId="24" fillId="23" borderId="5" applyAlignment="1" pivotButton="0" quotePrefix="0" xfId="0">
      <alignment horizontal="center" vertical="center" wrapText="1"/>
    </xf>
    <xf numFmtId="9" fontId="30" fillId="24" borderId="14" applyAlignment="1" applyProtection="1" pivotButton="0" quotePrefix="0" xfId="32">
      <alignment horizontal="center" vertical="center"/>
      <protection locked="0" hidden="0"/>
    </xf>
    <xf numFmtId="0" fontId="37" fillId="24" borderId="14" applyAlignment="1" pivotButton="0" quotePrefix="0" xfId="0">
      <alignment horizontal="center" vertical="center" wrapText="1"/>
    </xf>
    <xf numFmtId="0" fontId="37" fillId="0" borderId="30" applyAlignment="1" pivotButton="0" quotePrefix="0" xfId="0">
      <alignment horizontal="center" vertical="center" wrapText="1"/>
    </xf>
    <xf numFmtId="0" fontId="37" fillId="0" borderId="31" applyAlignment="1" pivotButton="0" quotePrefix="0" xfId="0">
      <alignment horizontal="center" vertical="center" wrapText="1"/>
    </xf>
    <xf numFmtId="9" fontId="30" fillId="0" borderId="8" applyAlignment="1" applyProtection="1" pivotButton="0" quotePrefix="0" xfId="32">
      <alignment horizontal="center" vertical="center"/>
      <protection locked="0" hidden="0"/>
    </xf>
    <xf numFmtId="17" fontId="39" fillId="0" borderId="8" applyAlignment="1" applyProtection="1" pivotButton="0" quotePrefix="0" xfId="31">
      <alignment horizontal="center" vertical="center" wrapText="1"/>
      <protection locked="0" hidden="0"/>
    </xf>
    <xf numFmtId="17" fontId="39" fillId="24" borderId="8" applyAlignment="1" applyProtection="1" pivotButton="0" quotePrefix="0" xfId="31">
      <alignment horizontal="center" vertical="center" wrapText="1"/>
      <protection locked="0" hidden="0"/>
    </xf>
    <xf numFmtId="0" fontId="37" fillId="0" borderId="32" applyAlignment="1" pivotButton="0" quotePrefix="0" xfId="0">
      <alignment horizontal="center" vertical="center" wrapText="1"/>
    </xf>
    <xf numFmtId="0" fontId="37" fillId="0" borderId="33" applyAlignment="1" pivotButton="0" quotePrefix="0" xfId="0">
      <alignment horizontal="center" vertical="center" wrapText="1"/>
    </xf>
    <xf numFmtId="9" fontId="30" fillId="0" borderId="17" applyAlignment="1" applyProtection="1" pivotButton="0" quotePrefix="0" xfId="32">
      <alignment horizontal="center" vertical="center"/>
      <protection locked="0" hidden="0"/>
    </xf>
    <xf numFmtId="17" fontId="39" fillId="0" borderId="14" applyAlignment="1" applyProtection="1" pivotButton="0" quotePrefix="0" xfId="31">
      <alignment horizontal="center" vertical="center" wrapText="1"/>
      <protection locked="0" hidden="0"/>
    </xf>
    <xf numFmtId="17" fontId="39" fillId="24" borderId="17" applyAlignment="1" applyProtection="1" pivotButton="0" quotePrefix="0" xfId="31">
      <alignment horizontal="center" vertical="center" wrapText="1"/>
      <protection locked="0" hidden="0"/>
    </xf>
    <xf numFmtId="9" fontId="30" fillId="0" borderId="5" applyAlignment="1" applyProtection="1" pivotButton="0" quotePrefix="0" xfId="32">
      <alignment horizontal="center" vertical="center"/>
      <protection locked="0" hidden="0"/>
    </xf>
    <xf numFmtId="0" fontId="37" fillId="0" borderId="5" applyAlignment="1" pivotButton="0" quotePrefix="0" xfId="0">
      <alignment horizontal="center" vertical="center"/>
    </xf>
    <xf numFmtId="0" fontId="36" fillId="0" borderId="0" pivotButton="0" quotePrefix="0" xfId="0"/>
    <xf numFmtId="0" fontId="37" fillId="0" borderId="5" applyAlignment="1" pivotButton="0" quotePrefix="0" xfId="0">
      <alignment horizontal="center" vertical="center" wrapText="1"/>
    </xf>
    <xf numFmtId="0" fontId="40" fillId="24" borderId="5" applyAlignment="1" pivotButton="0" quotePrefix="0" xfId="0">
      <alignment horizontal="center" vertical="center" textRotation="90" wrapText="1"/>
    </xf>
    <xf numFmtId="0" fontId="37" fillId="0" borderId="8" applyAlignment="1" pivotButton="0" quotePrefix="0" xfId="0">
      <alignment horizontal="center" vertical="center" wrapText="1"/>
    </xf>
    <xf numFmtId="9" fontId="30" fillId="0" borderId="14" applyAlignment="1" applyProtection="1" pivotButton="0" quotePrefix="0" xfId="32">
      <alignment horizontal="center" vertical="center"/>
      <protection locked="0" hidden="0"/>
    </xf>
    <xf numFmtId="17" fontId="39" fillId="24" borderId="14" applyAlignment="1" applyProtection="1" pivotButton="0" quotePrefix="0" xfId="31">
      <alignment horizontal="center" vertical="center" wrapText="1"/>
      <protection locked="0" hidden="0"/>
    </xf>
    <xf numFmtId="0" fontId="37" fillId="0" borderId="14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/>
    </xf>
    <xf numFmtId="0" fontId="37" fillId="0" borderId="14" applyAlignment="1" pivotButton="0" quotePrefix="0" xfId="0">
      <alignment horizontal="center" vertical="center"/>
    </xf>
    <xf numFmtId="0" fontId="24" fillId="24" borderId="5" applyAlignment="1" pivotButton="0" quotePrefix="0" xfId="0">
      <alignment horizontal="center" vertical="center" textRotation="90" wrapText="1"/>
    </xf>
    <xf numFmtId="0" fontId="41" fillId="24" borderId="5" applyAlignment="1" pivotButton="0" quotePrefix="0" xfId="0">
      <alignment horizontal="center" vertical="center" textRotation="90" wrapText="1"/>
    </xf>
    <xf numFmtId="0" fontId="42" fillId="24" borderId="5" applyAlignment="1" pivotButton="0" quotePrefix="0" xfId="0">
      <alignment horizontal="center" vertical="center" textRotation="90" wrapText="1"/>
    </xf>
    <xf numFmtId="0" fontId="37" fillId="0" borderId="5" applyAlignment="1" pivotButton="0" quotePrefix="0" xfId="0">
      <alignment horizontal="center"/>
    </xf>
    <xf numFmtId="0" fontId="43" fillId="25" borderId="5" applyAlignment="1" pivotButton="0" quotePrefix="0" xfId="0">
      <alignment horizontal="center" vertical="center" wrapText="1"/>
    </xf>
    <xf numFmtId="1" fontId="30" fillId="0" borderId="5" applyAlignment="1" applyProtection="1" pivotButton="0" quotePrefix="0" xfId="32">
      <alignment horizontal="center" vertical="center"/>
      <protection locked="0" hidden="0"/>
    </xf>
    <xf numFmtId="17" fontId="39" fillId="0" borderId="5" applyAlignment="1" applyProtection="1" pivotButton="0" quotePrefix="0" xfId="31">
      <alignment horizontal="left" vertical="center" wrapText="1"/>
      <protection locked="0" hidden="0"/>
    </xf>
    <xf numFmtId="0" fontId="44" fillId="25" borderId="5" applyAlignment="1" pivotButton="0" quotePrefix="0" xfId="0">
      <alignment horizontal="center" vertical="center" wrapText="1"/>
    </xf>
    <xf numFmtId="0" fontId="37" fillId="0" borderId="5" applyAlignment="1" pivotButton="0" quotePrefix="0" xfId="0">
      <alignment horizontal="right" vertical="center" wrapText="1"/>
    </xf>
    <xf numFmtId="0" fontId="37" fillId="0" borderId="5" applyAlignment="1" pivotButton="0" quotePrefix="0" xfId="0">
      <alignment horizontal="right" vertical="center"/>
    </xf>
    <xf numFmtId="0" fontId="44" fillId="25" borderId="28" applyAlignment="1" pivotButton="0" quotePrefix="0" xfId="0">
      <alignment horizontal="center" vertical="center"/>
    </xf>
    <xf numFmtId="0" fontId="44" fillId="25" borderId="0" applyAlignment="1" pivotButton="0" quotePrefix="0" xfId="0">
      <alignment horizontal="center" vertical="center"/>
    </xf>
    <xf numFmtId="0" fontId="44" fillId="25" borderId="29" applyAlignment="1" pivotButton="0" quotePrefix="0" xfId="0">
      <alignment horizontal="center" vertical="center"/>
    </xf>
    <xf numFmtId="0" fontId="45" fillId="27" borderId="20" applyAlignment="1" pivotButton="0" quotePrefix="0" xfId="0">
      <alignment horizontal="center" vertical="center"/>
    </xf>
    <xf numFmtId="0" fontId="45" fillId="27" borderId="21" applyAlignment="1" pivotButton="0" quotePrefix="0" xfId="0">
      <alignment horizontal="center" vertical="center"/>
    </xf>
    <xf numFmtId="0" fontId="45" fillId="27" borderId="22" applyAlignment="1" pivotButton="0" quotePrefix="0" xfId="0">
      <alignment horizontal="center" vertical="center"/>
    </xf>
    <xf numFmtId="0" fontId="45" fillId="27" borderId="23" applyAlignment="1" pivotButton="0" quotePrefix="0" xfId="0">
      <alignment horizontal="center" vertical="center"/>
    </xf>
    <xf numFmtId="0" fontId="45" fillId="27" borderId="19" applyAlignment="1" pivotButton="0" quotePrefix="0" xfId="0">
      <alignment horizontal="center" vertical="center"/>
    </xf>
    <xf numFmtId="0" fontId="45" fillId="27" borderId="12" applyAlignment="1" pivotButton="0" quotePrefix="0" xfId="0">
      <alignment horizontal="center" vertical="center"/>
    </xf>
    <xf numFmtId="0" fontId="24" fillId="27" borderId="27" applyAlignment="1" pivotButton="0" quotePrefix="0" xfId="0">
      <alignment horizontal="center" vertical="center" wrapText="1"/>
    </xf>
    <xf numFmtId="0" fontId="24" fillId="27" borderId="16" applyAlignment="1" pivotButton="0" quotePrefix="0" xfId="0">
      <alignment horizontal="center" vertical="center" wrapText="1"/>
    </xf>
    <xf numFmtId="0" fontId="24" fillId="27" borderId="5" applyAlignment="1" pivotButton="0" quotePrefix="0" xfId="0">
      <alignment horizontal="center" vertical="center" wrapText="1"/>
    </xf>
    <xf numFmtId="0" fontId="24" fillId="27" borderId="5" applyAlignment="1" pivotButton="0" quotePrefix="0" xfId="0">
      <alignment horizontal="center" vertical="center" wrapText="1"/>
    </xf>
    <xf numFmtId="0" fontId="24" fillId="27" borderId="9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/>
    </xf>
    <xf numFmtId="0" fontId="44" fillId="0" borderId="6" applyAlignment="1" pivotButton="0" quotePrefix="0" xfId="0">
      <alignment horizontal="center" vertical="center"/>
    </xf>
    <xf numFmtId="0" fontId="44" fillId="0" borderId="2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center" vertical="center" wrapText="1"/>
    </xf>
    <xf numFmtId="1" fontId="24" fillId="0" borderId="14" applyAlignment="1" pivotButton="0" quotePrefix="0" xfId="0">
      <alignment horizontal="center" vertical="center" wrapText="1"/>
    </xf>
    <xf numFmtId="1" fontId="37" fillId="0" borderId="9" applyAlignment="1" pivotButton="0" quotePrefix="0" xfId="0">
      <alignment horizontal="center" vertical="center" wrapText="1"/>
    </xf>
    <xf numFmtId="0" fontId="37" fillId="0" borderId="15" applyAlignment="1" pivotButton="0" quotePrefix="0" xfId="0">
      <alignment horizontal="center" vertical="center" wrapText="1"/>
    </xf>
    <xf numFmtId="0" fontId="44" fillId="0" borderId="13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44" fillId="0" borderId="25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center" vertical="center" wrapText="1"/>
    </xf>
    <xf numFmtId="1" fontId="24" fillId="0" borderId="14" applyAlignment="1" pivotButton="0" quotePrefix="0" xfId="0">
      <alignment horizontal="center" vertical="center" wrapText="1"/>
    </xf>
    <xf numFmtId="1" fontId="37" fillId="0" borderId="9" applyAlignment="1" pivotButton="0" quotePrefix="0" xfId="0">
      <alignment horizontal="center" vertical="center" wrapText="1"/>
    </xf>
    <xf numFmtId="0" fontId="37" fillId="0" borderId="15" applyAlignment="1" pivotButton="0" quotePrefix="0" xfId="0">
      <alignment horizontal="center" vertical="center" wrapText="1"/>
    </xf>
    <xf numFmtId="0" fontId="24" fillId="27" borderId="9" applyAlignment="1" pivotButton="0" quotePrefix="0" xfId="0">
      <alignment horizontal="center" vertical="center"/>
    </xf>
    <xf numFmtId="0" fontId="24" fillId="27" borderId="16" applyAlignment="1" pivotButton="0" quotePrefix="0" xfId="0">
      <alignment horizontal="center" vertical="center"/>
    </xf>
    <xf numFmtId="9" fontId="37" fillId="27" borderId="5" applyAlignment="1" pivotButton="0" quotePrefix="0" xfId="0">
      <alignment horizontal="center" vertical="center"/>
    </xf>
    <xf numFmtId="9" fontId="37" fillId="27" borderId="9" applyAlignment="1" pivotButton="0" quotePrefix="0" xfId="0">
      <alignment horizontal="center" vertical="center" wrapText="1"/>
    </xf>
    <xf numFmtId="9" fontId="37" fillId="27" borderId="15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24" fillId="27" borderId="5" applyAlignment="1" pivotButton="0" quotePrefix="0" xfId="0">
      <alignment horizontal="center" vertical="center"/>
    </xf>
    <xf numFmtId="9" fontId="37" fillId="27" borderId="5" applyAlignment="1" pivotButton="0" quotePrefix="0" xfId="0">
      <alignment horizontal="center" vertical="center"/>
    </xf>
    <xf numFmtId="0" fontId="37" fillId="27" borderId="9" applyAlignment="1" pivotButton="0" quotePrefix="0" xfId="0">
      <alignment horizontal="center" vertical="center"/>
    </xf>
    <xf numFmtId="0" fontId="24" fillId="27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/>
    </xf>
    <xf numFmtId="0" fontId="22" fillId="0" borderId="5" applyAlignment="1" pivotButton="0" quotePrefix="0" xfId="0">
      <alignment horizontal="center"/>
    </xf>
    <xf numFmtId="0" fontId="22" fillId="0" borderId="9" applyAlignment="1" pivotButton="0" quotePrefix="0" xfId="0">
      <alignment horizontal="center"/>
    </xf>
    <xf numFmtId="0" fontId="22" fillId="0" borderId="18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4" fillId="0" borderId="18" applyAlignment="1" pivotButton="0" quotePrefix="0" xfId="0">
      <alignment horizontal="center" vertical="center"/>
    </xf>
    <xf numFmtId="0" fontId="44" fillId="0" borderId="7" applyAlignment="1" pivotButton="0" quotePrefix="0" xfId="0">
      <alignment horizontal="center" vertical="center"/>
    </xf>
    <xf numFmtId="0" fontId="44" fillId="0" borderId="26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47" fillId="28" borderId="5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4" pivotButton="0" quotePrefix="0" xfId="0"/>
    <xf numFmtId="0" fontId="48" fillId="28" borderId="5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9" fontId="30" fillId="24" borderId="5" applyAlignment="1" applyProtection="1" pivotButton="0" quotePrefix="0" xfId="32">
      <alignment horizontal="center" vertical="center"/>
      <protection locked="0" hidden="0"/>
    </xf>
    <xf numFmtId="0" fontId="37" fillId="24" borderId="5" applyAlignment="1" pivotButton="0" quotePrefix="0" xfId="0">
      <alignment horizontal="center" vertical="center" wrapText="1"/>
    </xf>
    <xf numFmtId="0" fontId="0" fillId="0" borderId="14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44" fillId="25" borderId="38" applyAlignment="1" pivotButton="0" quotePrefix="0" xfId="0">
      <alignment horizontal="center" vertical="center"/>
    </xf>
    <xf numFmtId="0" fontId="0" fillId="0" borderId="29" pivotButton="0" quotePrefix="0" xfId="0"/>
    <xf numFmtId="0" fontId="45" fillId="27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45" fillId="27" borderId="3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2" pivotButton="0" quotePrefix="0" xfId="0"/>
    <xf numFmtId="0" fontId="24" fillId="27" borderId="13" applyAlignment="1" pivotButton="0" quotePrefix="0" xfId="0">
      <alignment horizontal="center" vertical="center" wrapText="1"/>
    </xf>
    <xf numFmtId="0" fontId="0" fillId="0" borderId="40" pivotButton="0" quotePrefix="0" xfId="0"/>
    <xf numFmtId="0" fontId="25" fillId="0" borderId="5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1" pivotButton="0" quotePrefix="0" xfId="0"/>
    <xf numFmtId="0" fontId="49" fillId="29" borderId="5" applyAlignment="1" pivotButton="0" quotePrefix="0" xfId="0">
      <alignment horizontal="center" vertical="center" wrapText="1"/>
    </xf>
    <xf numFmtId="0" fontId="49" fillId="29" borderId="5" applyAlignment="1" pivotButton="0" quotePrefix="0" xfId="0">
      <alignment horizontal="left" vertical="center" wrapText="1"/>
    </xf>
  </cellXfs>
  <cellStyles count="38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Celda vinculada" xfId="19" builtinId="24"/>
    <cellStyle name="Encabezado 4" xfId="20" builtinId="19"/>
    <cellStyle name="Énfasis1" xfId="21" builtinId="29"/>
    <cellStyle name="Énfasis2" xfId="22" builtinId="33"/>
    <cellStyle name="Énfasis3" xfId="23" builtinId="37"/>
    <cellStyle name="Énfasis4" xfId="24" builtinId="41"/>
    <cellStyle name="Énfasis5" xfId="25" builtinId="45"/>
    <cellStyle name="Énfasis6" xfId="26" builtinId="49"/>
    <cellStyle name="Entrada" xfId="27" builtinId="20"/>
    <cellStyle name="Euro" xfId="28"/>
    <cellStyle name="Incorrecto" xfId="29" builtinId="27"/>
    <cellStyle name="Neutral" xfId="30" builtinId="28"/>
    <cellStyle name="Normal 3" xfId="31"/>
    <cellStyle name="Porcentaje" xfId="32" builtinId="5"/>
    <cellStyle name="Porcentual 2" xfId="33"/>
    <cellStyle name="Salida" xfId="34" builtinId="21"/>
    <cellStyle name="Título" xfId="35" builtinId="15"/>
    <cellStyle name="Total" xfId="36" builtinId="25"/>
    <cellStyle name="Normal 2" xfId="37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'PLAN ANUAL DE TRABAJO'!$C$123:$D$123</f>
              <strCache>
                <ptCount val="2"/>
                <pt idx="0">
                  <v>RESULTADO</v>
                </pt>
              </strCache>
            </strRef>
          </tx>
          <spPr>
            <a:solidFill xmlns:a="http://schemas.openxmlformats.org/drawingml/2006/main">
              <a:schemeClr val="accent1">
                <a:shade val="76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'PLAN ANUAL DE TRABAJO'!$E$120:$R$120</f>
              <strCache>
                <ptCount val="13"/>
                <pt idx="0">
                  <v>ENE</v>
                </pt>
                <pt idx="1">
                  <v>FEB</v>
                </pt>
                <pt idx="2">
                  <v>MAR</v>
                </pt>
                <pt idx="3">
                  <v>ABR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DIC</v>
                </pt>
                <pt idx="12">
                  <v>TOTAL</v>
                </pt>
              </strCache>
            </strRef>
          </cat>
          <val>
            <numRef>
              <f>'PLAN ANUAL DE TRABAJO'!$E$123:$R$123</f>
              <numCache>
                <formatCode>0%</formatCode>
                <ptCount val="1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0</v>
                </pt>
                <pt idx="11">
                  <v>0</v>
                </pt>
                <pt idx="12">
                  <v>0.8177083333333334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2029440"/>
        <axId val="212030976"/>
      </barChart>
      <lineChart>
        <grouping val="standard"/>
        <varyColors val="0"/>
        <ser>
          <idx val="1"/>
          <order val="1"/>
          <tx>
            <strRef>
              <f>'PLAN ANUAL DE TRABAJO'!$C$124:$D$124</f>
              <strCache>
                <ptCount val="2"/>
                <pt idx="0">
                  <v>META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tint val="77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'PLAN ANUAL DE TRABAJO'!$E$120:$R$120</f>
              <strCache>
                <ptCount val="13"/>
                <pt idx="0">
                  <v>ENE</v>
                </pt>
                <pt idx="1">
                  <v>FEB</v>
                </pt>
                <pt idx="2">
                  <v>MAR</v>
                </pt>
                <pt idx="3">
                  <v>ABR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DIC</v>
                </pt>
                <pt idx="12">
                  <v>TOTAL</v>
                </pt>
              </strCache>
            </strRef>
          </cat>
          <val>
            <numRef>
              <f>'PLAN ANUAL DE TRABAJO'!$E$124:$R$124</f>
              <numCache>
                <formatCode>0%</formatCode>
                <ptCount val="1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2029440"/>
        <axId val="212030976"/>
      </lineChart>
      <catAx>
        <axId val="212029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2030976"/>
        <crosses val="autoZero"/>
        <auto val="1"/>
        <lblAlgn val="ctr"/>
        <lblOffset val="100"/>
        <noMultiLvlLbl val="0"/>
      </catAx>
      <valAx>
        <axId val="2120309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202944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833434036292692"/>
          <y val="0.3372588486445496"/>
          <w val="0.2032763452651163"/>
          <h val="0.2129247883681784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TM2</author>
  </authors>
  <commentList>
    <comment ref="A16" authorId="0" shapeId="0">
      <text>
        <t>NUMERALES CORRESPONDIENTES AL PHVA
PLANEAR: 
NUMERAL 1.1.1 Hasta 2.11.1 
HACER:
NUMERAL3.1.1 Hasta 5.1.2
VERIFICAR: 
NUMERAL 6.1.1 Hasta 6.1.4
ACTUAR:
NUMERAL 6.1.1 Hasta 6.1.4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drawing1.xml><?xml version="1.0" encoding="utf-8"?>
<wsDr xmlns="http://schemas.openxmlformats.org/drawingml/2006/spreadsheetDrawing">
  <twoCellAnchor>
    <from>
      <col>18</col>
      <colOff>208478</colOff>
      <row>119</row>
      <rowOff>139040</rowOff>
    </from>
    <to>
      <col>20</col>
      <colOff>2075378</colOff>
      <row>131</row>
      <rowOff>31090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247403</colOff>
      <row>0</row>
      <rowOff>0</rowOff>
    </from>
    <to>
      <col>1</col>
      <colOff>1049556</colOff>
      <row>2</row>
      <rowOff>1085810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47403" y="0"/>
          <a:ext cx="1659502" cy="16633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X132"/>
  <sheetViews>
    <sheetView showGridLines="0" tabSelected="1" topLeftCell="A110" zoomScale="77" zoomScaleNormal="77" zoomScaleSheetLayoutView="55" zoomScalePageLayoutView="70" workbookViewId="0">
      <selection activeCell="W6" sqref="W6"/>
    </sheetView>
  </sheetViews>
  <sheetFormatPr baseColWidth="10" defaultColWidth="11.44140625" defaultRowHeight="12"/>
  <cols>
    <col width="12.33203125" customWidth="1" style="12" min="1" max="1"/>
    <col width="25.6640625" customWidth="1" style="12" min="2" max="2"/>
    <col width="36.6640625" customWidth="1" style="12" min="3" max="3"/>
    <col width="5.6640625" customWidth="1" style="12" min="4" max="4"/>
    <col width="6.6640625" customWidth="1" style="12" min="5" max="16"/>
    <col width="9.33203125" customWidth="1" style="12" min="17" max="18"/>
    <col width="21.5546875" customWidth="1" style="147" min="19" max="19"/>
    <col width="25.44140625" customWidth="1" style="147" min="20" max="20"/>
    <col width="33.5546875" customWidth="1" style="12" min="21" max="21"/>
    <col width="11.44140625" customWidth="1" style="12" min="22" max="16384"/>
  </cols>
  <sheetData>
    <row r="1" ht="24.75" customHeight="1">
      <c r="A1" s="148" t="n"/>
      <c r="B1" s="149" t="n"/>
      <c r="C1" s="188" t="inlineStr">
        <is>
          <t>PLAN ANUAL DE TRABAJO PARA EL 2026</t>
        </is>
      </c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49" t="n"/>
      <c r="U1" s="189" t="inlineStr">
        <is>
          <t>Fecha: 02/02/2026</t>
        </is>
      </c>
      <c r="V1" s="12" t="n"/>
    </row>
    <row r="2" ht="21" customHeight="1">
      <c r="A2" s="152" t="n"/>
      <c r="B2" s="153" t="n"/>
      <c r="C2" s="152" t="n"/>
      <c r="T2" s="153" t="n"/>
      <c r="U2" s="151" t="inlineStr">
        <is>
          <t>Versión: 1</t>
        </is>
      </c>
      <c r="V2" s="12" t="n"/>
    </row>
    <row r="3" ht="91.8" customHeight="1">
      <c r="A3" s="154" t="n"/>
      <c r="B3" s="155" t="n"/>
      <c r="C3" s="154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5" t="n"/>
      <c r="U3" s="151" t="inlineStr">
        <is>
          <t>Código: FG-FOR-SST-230</t>
        </is>
      </c>
      <c r="V3" s="12" t="n"/>
    </row>
    <row r="4" ht="23.25" customHeight="1">
      <c r="A4" s="19" t="inlineStr">
        <is>
          <t xml:space="preserve">ELABORÓ: </t>
        </is>
      </c>
      <c r="B4" s="157" t="n"/>
      <c r="C4" s="157" t="n"/>
      <c r="D4" s="158" t="n"/>
      <c r="E4" s="20" t="n"/>
      <c r="F4" s="157" t="n"/>
      <c r="G4" s="157" t="n"/>
      <c r="H4" s="157" t="n"/>
      <c r="I4" s="157" t="n"/>
      <c r="J4" s="157" t="n"/>
      <c r="K4" s="158" t="n"/>
      <c r="L4" s="21" t="inlineStr">
        <is>
          <t>EMPRESA: FOREST GREEN SERVICIOS AMBIENTALES S.A.S.</t>
        </is>
      </c>
      <c r="M4" s="157" t="n"/>
      <c r="N4" s="157" t="n"/>
      <c r="O4" s="157" t="n"/>
      <c r="P4" s="157" t="n"/>
      <c r="Q4" s="157" t="n"/>
      <c r="R4" s="157" t="n"/>
      <c r="S4" s="158" t="n"/>
      <c r="T4" s="21" t="inlineStr">
        <is>
          <t>FECHA DE ELABORACIÓN: 02/02/2026</t>
        </is>
      </c>
      <c r="U4" s="158" t="n"/>
      <c r="V4" s="24" t="n"/>
      <c r="W4" s="24" t="n"/>
      <c r="X4" s="12" t="n"/>
    </row>
    <row r="5" ht="51.75" customHeight="1">
      <c r="A5" s="25" t="inlineStr">
        <is>
          <t>FIRMA DEL EMPLEADOR:___________________________________________________________                C.C.: ________________</t>
        </is>
      </c>
      <c r="B5" s="157" t="n"/>
      <c r="C5" s="157" t="n"/>
      <c r="D5" s="157" t="n"/>
      <c r="E5" s="157" t="n"/>
      <c r="F5" s="157" t="n"/>
      <c r="G5" s="157" t="n"/>
      <c r="H5" s="157" t="n"/>
      <c r="I5" s="157" t="n"/>
      <c r="J5" s="157" t="n"/>
      <c r="K5" s="157" t="n"/>
      <c r="L5" s="157" t="n"/>
      <c r="M5" s="157" t="n"/>
      <c r="N5" s="157" t="n"/>
      <c r="O5" s="157" t="n"/>
      <c r="P5" s="157" t="n"/>
      <c r="Q5" s="157" t="n"/>
      <c r="R5" s="157" t="n"/>
      <c r="S5" s="157" t="n"/>
      <c r="T5" s="157" t="n"/>
      <c r="U5" s="158" t="n"/>
    </row>
    <row r="6" ht="51.75" customHeight="1">
      <c r="A6" s="25" t="inlineStr">
        <is>
          <t>FIRMA DEL VIGIA:___________________________________________________________                C.C.: ________________</t>
        </is>
      </c>
      <c r="B6" s="157" t="n"/>
      <c r="C6" s="157" t="n"/>
      <c r="D6" s="157" t="n"/>
      <c r="E6" s="157" t="n"/>
      <c r="F6" s="157" t="n"/>
      <c r="G6" s="157" t="n"/>
      <c r="H6" s="157" t="n"/>
      <c r="I6" s="157" t="n"/>
      <c r="J6" s="157" t="n"/>
      <c r="K6" s="157" t="n"/>
      <c r="L6" s="157" t="n"/>
      <c r="M6" s="157" t="n"/>
      <c r="N6" s="157" t="n"/>
      <c r="O6" s="157" t="n"/>
      <c r="P6" s="157" t="n"/>
      <c r="Q6" s="157" t="n"/>
      <c r="R6" s="157" t="n"/>
      <c r="S6" s="157" t="n"/>
      <c r="T6" s="157" t="n"/>
      <c r="U6" s="158" t="n"/>
    </row>
    <row r="7" ht="51.75" customHeight="1">
      <c r="A7" s="25" t="inlineStr">
        <is>
          <t>FIRMA RESPONSABLE DEL SG-SST: ___________________________ (Firma, Licencia y Responsabilidad)</t>
        </is>
      </c>
      <c r="B7" s="157" t="n"/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  <c r="M7" s="157" t="n"/>
      <c r="N7" s="157" t="n"/>
      <c r="O7" s="157" t="n"/>
      <c r="P7" s="157" t="n"/>
      <c r="Q7" s="157" t="n"/>
      <c r="R7" s="157" t="n"/>
      <c r="S7" s="157" t="n"/>
      <c r="T7" s="157" t="n"/>
      <c r="U7" s="158" t="n"/>
    </row>
    <row r="8" ht="27.6" customHeight="1">
      <c r="A8" s="29" t="inlineStr">
        <is>
          <t xml:space="preserve">1. OBJETIVO </t>
        </is>
      </c>
      <c r="B8" s="157" t="n"/>
      <c r="C8" s="157" t="n"/>
      <c r="D8" s="157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  <c r="U8" s="158" t="n"/>
    </row>
    <row r="9" ht="52.95" customHeight="1">
      <c r="A9" s="31" t="inlineStr">
        <is>
          <t>Definir las actividades a desarrollar para dar cumplimiento al Sistema de Gestión para la Seguridad y Salud en el Trabajo de la empresa  FOREST GREEN SERVICIOS AMBIENTALES S.A.S.</t>
        </is>
      </c>
      <c r="B9" s="157" t="n"/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8" t="n"/>
      <c r="W9" s="32" t="n"/>
    </row>
    <row r="10" ht="24" customHeight="1">
      <c r="A10" s="29" t="inlineStr">
        <is>
          <t xml:space="preserve">2. ALCANCE </t>
        </is>
      </c>
      <c r="B10" s="157" t="n"/>
      <c r="C10" s="157" t="n"/>
      <c r="D10" s="157" t="n"/>
      <c r="E10" s="157" t="n"/>
      <c r="F10" s="157" t="n"/>
      <c r="G10" s="157" t="n"/>
      <c r="H10" s="157" t="n"/>
      <c r="I10" s="157" t="n"/>
      <c r="J10" s="157" t="n"/>
      <c r="K10" s="157" t="n"/>
      <c r="L10" s="157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8" t="n"/>
    </row>
    <row r="11" ht="33.75" customHeight="1">
      <c r="A11" s="31" t="inlineStr">
        <is>
          <t>El presente plan aplica a todos los trabajadores que tengan responsabilidades directas en el SG-SST, establecidas en el presente plan.</t>
        </is>
      </c>
      <c r="B11" s="157" t="n"/>
      <c r="C11" s="157" t="n"/>
      <c r="D11" s="157" t="n"/>
      <c r="E11" s="157" t="n"/>
      <c r="F11" s="157" t="n"/>
      <c r="G11" s="157" t="n"/>
      <c r="H11" s="157" t="n"/>
      <c r="I11" s="157" t="n"/>
      <c r="J11" s="157" t="n"/>
      <c r="K11" s="157" t="n"/>
      <c r="L11" s="157" t="n"/>
      <c r="M11" s="157" t="n"/>
      <c r="N11" s="157" t="n"/>
      <c r="O11" s="157" t="n"/>
      <c r="P11" s="157" t="n"/>
      <c r="Q11" s="157" t="n"/>
      <c r="R11" s="157" t="n"/>
      <c r="S11" s="157" t="n"/>
      <c r="T11" s="157" t="n"/>
      <c r="U11" s="158" t="n"/>
      <c r="W11" s="32" t="n"/>
    </row>
    <row r="12" ht="24" customHeight="1">
      <c r="A12" s="29" t="inlineStr">
        <is>
          <t>3. METAS</t>
        </is>
      </c>
      <c r="B12" s="157" t="n"/>
      <c r="C12" s="157" t="n"/>
      <c r="D12" s="157" t="n"/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8" t="n"/>
    </row>
    <row r="13" ht="21" customHeight="1">
      <c r="A13" s="31" t="inlineStr">
        <is>
          <t>Cumplir el 100% de las actividades a desarrollar</t>
        </is>
      </c>
      <c r="B13" s="157" t="n"/>
      <c r="C13" s="157" t="n"/>
      <c r="D13" s="157" t="n"/>
      <c r="E13" s="157" t="n"/>
      <c r="F13" s="157" t="n"/>
      <c r="G13" s="157" t="n"/>
      <c r="H13" s="157" t="n"/>
      <c r="I13" s="157" t="n"/>
      <c r="J13" s="157" t="n"/>
      <c r="K13" s="157" t="n"/>
      <c r="L13" s="157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8" t="n"/>
    </row>
    <row r="14" ht="24" customHeight="1">
      <c r="A14" s="29" t="inlineStr">
        <is>
          <t>PLAZO DETERMINADO PARA SU CUMPLIMIENTO</t>
        </is>
      </c>
      <c r="B14" s="157" t="n"/>
      <c r="C14" s="157" t="n"/>
      <c r="D14" s="157" t="n"/>
      <c r="E14" s="157" t="n"/>
      <c r="F14" s="157" t="n"/>
      <c r="G14" s="157" t="n"/>
      <c r="H14" s="157" t="n"/>
      <c r="I14" s="157" t="n"/>
      <c r="J14" s="157" t="n"/>
      <c r="K14" s="157" t="n"/>
      <c r="L14" s="157" t="n"/>
      <c r="M14" s="157" t="n"/>
      <c r="N14" s="157" t="n"/>
      <c r="O14" s="157" t="n"/>
      <c r="P14" s="157" t="n"/>
      <c r="Q14" s="157" t="n"/>
      <c r="R14" s="157" t="n"/>
      <c r="S14" s="157" t="n"/>
      <c r="T14" s="157" t="n"/>
      <c r="U14" s="158" t="n"/>
    </row>
    <row r="15" ht="21" customHeight="1">
      <c r="A15" s="34" t="inlineStr">
        <is>
          <t>FECHA: 01/02/2026</t>
        </is>
      </c>
      <c r="B15" s="157" t="n"/>
      <c r="C15" s="157" t="n"/>
      <c r="D15" s="158" t="n"/>
      <c r="E15" s="35" t="inlineStr">
        <is>
          <t>AÑO 2026</t>
        </is>
      </c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57" t="n"/>
      <c r="T15" s="157" t="n"/>
      <c r="U15" s="158" t="n"/>
    </row>
    <row r="16" ht="22.5" customFormat="1" customHeight="1" s="32">
      <c r="A16" s="36" t="inlineStr">
        <is>
          <t>ETAPA</t>
        </is>
      </c>
      <c r="B16" s="41" t="inlineStr">
        <is>
          <t>ACTIVIDAD A DESARROLLAR</t>
        </is>
      </c>
      <c r="C16" s="150" t="n"/>
      <c r="D16" s="149" t="n"/>
      <c r="E16" s="40" t="inlineStr">
        <is>
          <t>ENE</t>
        </is>
      </c>
      <c r="F16" s="40" t="inlineStr">
        <is>
          <t>FEB</t>
        </is>
      </c>
      <c r="G16" s="40" t="inlineStr">
        <is>
          <t>MAR</t>
        </is>
      </c>
      <c r="H16" s="40" t="inlineStr">
        <is>
          <t>ABR</t>
        </is>
      </c>
      <c r="I16" s="40" t="inlineStr">
        <is>
          <t>MAY</t>
        </is>
      </c>
      <c r="J16" s="40" t="inlineStr">
        <is>
          <t>JUN</t>
        </is>
      </c>
      <c r="K16" s="40" t="inlineStr">
        <is>
          <t>JUL</t>
        </is>
      </c>
      <c r="L16" s="40" t="inlineStr">
        <is>
          <t>AGO</t>
        </is>
      </c>
      <c r="M16" s="40" t="inlineStr">
        <is>
          <t>SEP</t>
        </is>
      </c>
      <c r="N16" s="40" t="inlineStr">
        <is>
          <t>OCT</t>
        </is>
      </c>
      <c r="O16" s="40" t="inlineStr">
        <is>
          <t>NOV</t>
        </is>
      </c>
      <c r="P16" s="40" t="inlineStr">
        <is>
          <t>DIC</t>
        </is>
      </c>
      <c r="Q16" s="41" t="inlineStr">
        <is>
          <t>% Cumplimiento actividad/fase</t>
        </is>
      </c>
      <c r="R16" s="149" t="n"/>
      <c r="S16" s="42" t="inlineStr">
        <is>
          <t xml:space="preserve">RESPONSABLE (s) </t>
        </is>
      </c>
      <c r="T16" s="42" t="inlineStr">
        <is>
          <t>EVIDENCIAS</t>
        </is>
      </c>
      <c r="U16" s="42" t="inlineStr">
        <is>
          <t>OBSERVACIONES</t>
        </is>
      </c>
    </row>
    <row r="17" ht="22.5" customFormat="1" customHeight="1" s="32">
      <c r="A17" s="159" t="n"/>
      <c r="B17" s="152" t="n"/>
      <c r="D17" s="153" t="n"/>
      <c r="E17" s="160" t="n"/>
      <c r="F17" s="160" t="n"/>
      <c r="G17" s="160" t="n"/>
      <c r="H17" s="160" t="n"/>
      <c r="I17" s="160" t="n"/>
      <c r="J17" s="160" t="n"/>
      <c r="K17" s="160" t="n"/>
      <c r="L17" s="160" t="n"/>
      <c r="M17" s="160" t="n"/>
      <c r="N17" s="160" t="n"/>
      <c r="O17" s="160" t="n"/>
      <c r="P17" s="160" t="n"/>
      <c r="Q17" s="152" t="n"/>
      <c r="R17" s="153" t="n"/>
      <c r="S17" s="159" t="n"/>
      <c r="T17" s="159" t="n"/>
      <c r="U17" s="159" t="n"/>
    </row>
    <row r="18" ht="28.2" customFormat="1" customHeight="1" s="76">
      <c r="A18" s="160" t="n"/>
      <c r="B18" s="154" t="n"/>
      <c r="C18" s="156" t="n"/>
      <c r="D18" s="155" t="n"/>
      <c r="E18" s="49" t="inlineStr">
        <is>
          <t xml:space="preserve">Cuando se cumpla se marca con 1, en P si es  (Planeado) o con 1 si es (Ejecutado) </t>
        </is>
      </c>
      <c r="F18" s="161" t="n"/>
      <c r="G18" s="161" t="n"/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2" t="n"/>
      <c r="Q18" s="154" t="n"/>
      <c r="R18" s="155" t="n"/>
      <c r="S18" s="160" t="n"/>
      <c r="T18" s="160" t="n"/>
      <c r="U18" s="160" t="n"/>
    </row>
    <row r="19" ht="31.5" customFormat="1" customHeight="1" s="60">
      <c r="A19" s="51" t="inlineStr">
        <is>
          <t>PLANEAR</t>
        </is>
      </c>
      <c r="B19" s="77" t="inlineStr">
        <is>
          <t xml:space="preserve">Asignar responsabilidades del SG-SST a todos los trabajadores y comunicarselas </t>
        </is>
      </c>
      <c r="C19" s="149" t="n"/>
      <c r="D19" s="53" t="inlineStr">
        <is>
          <t>P*</t>
        </is>
      </c>
      <c r="E19" s="54" t="n">
        <v>1</v>
      </c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163">
        <f>IFERROR(IF(COUNT(E19:P19)&lt;1,0,IF(COUNT(E20:P20)&gt;=COUNT(E19:P19),1,(COUNT(E20:P20)/COUNT(E19:P19)))),0)</f>
        <v/>
      </c>
      <c r="R19" s="56">
        <f>AVERAGE(Q19:Q52)</f>
        <v/>
      </c>
      <c r="S19" s="57" t="inlineStr">
        <is>
          <t>Área SST</t>
        </is>
      </c>
      <c r="T19" s="58" t="inlineStr">
        <is>
          <t>Registro de asistencia capacitación de las responsabilidades</t>
        </is>
      </c>
      <c r="U19" s="164" t="n"/>
    </row>
    <row r="20" ht="30.75" customFormat="1" customHeight="1" s="60">
      <c r="A20" s="159" t="n"/>
      <c r="B20" s="154" t="n"/>
      <c r="C20" s="155" t="n"/>
      <c r="D20" s="61" t="inlineStr">
        <is>
          <t>E*</t>
        </is>
      </c>
      <c r="E20" s="54" t="n">
        <v>1</v>
      </c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165" t="n"/>
      <c r="R20" s="166" t="n"/>
      <c r="S20" s="165" t="n"/>
      <c r="T20" s="165" t="n"/>
      <c r="U20" s="160" t="n"/>
    </row>
    <row r="21" ht="34.5" customFormat="1" customHeight="1" s="60">
      <c r="A21" s="159" t="n"/>
      <c r="B21" s="77" t="inlineStr">
        <is>
          <t>Actualizar el programa de capacitación anual, comunicarlo al COPASST/VIGÍA  y darle el respectivo cumplimiento</t>
        </is>
      </c>
      <c r="C21" s="149" t="n"/>
      <c r="D21" s="53" t="inlineStr">
        <is>
          <t>P*</t>
        </is>
      </c>
      <c r="E21" s="54" t="n">
        <v>1</v>
      </c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66">
        <f>IFERROR(IF(COUNT(E21:P21)&lt;1,0,IF(COUNT(E22:P22)&gt;=COUNT(E21:P21),1,(COUNT(E22:P22)/COUNT(E21:P21)))),0)</f>
        <v/>
      </c>
      <c r="R21" s="166" t="n"/>
      <c r="S21" s="57" t="inlineStr">
        <is>
          <t>Área SST, empleador, COPASST/VIGÍA, CCL y brgadistas</t>
        </is>
      </c>
      <c r="T21" s="68" t="inlineStr">
        <is>
          <t>Programa de capacitación anual actualizado, comunicado al COPASST/VIGÍA , dando cumplimiento a las fechas establecidas.</t>
        </is>
      </c>
      <c r="U21" s="164" t="n"/>
    </row>
    <row r="22" ht="45" customFormat="1" customHeight="1" s="60">
      <c r="A22" s="159" t="n"/>
      <c r="B22" s="154" t="n"/>
      <c r="C22" s="155" t="n"/>
      <c r="D22" s="61" t="inlineStr">
        <is>
          <t>E*</t>
        </is>
      </c>
      <c r="E22" s="54" t="n">
        <v>1</v>
      </c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166" t="n"/>
      <c r="R22" s="166" t="n"/>
      <c r="S22" s="165" t="n"/>
      <c r="T22" s="166" t="n"/>
      <c r="U22" s="160" t="n"/>
    </row>
    <row r="23" ht="34.5" customFormat="1" customHeight="1" s="60">
      <c r="A23" s="159" t="n"/>
      <c r="B23" s="77" t="inlineStr">
        <is>
          <t xml:space="preserve">Comunicar la política SST a todos los trabajadores, independientemente de su forma de contratación, y demás partes interesadas </t>
        </is>
      </c>
      <c r="C23" s="149" t="n"/>
      <c r="D23" s="53" t="inlineStr">
        <is>
          <t>P*</t>
        </is>
      </c>
      <c r="E23" s="54" t="n">
        <v>1</v>
      </c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66">
        <f>IFERROR(IF(COUNT(E23:P23)&lt;1,0,IF(COUNT(E24:P24)&gt;=COUNT(E23:P23),1,(COUNT(E24:P24)/COUNT(E23:P23)))),0)</f>
        <v/>
      </c>
      <c r="R23" s="166" t="n"/>
      <c r="S23" s="57" t="inlineStr">
        <is>
          <t>Área SST</t>
        </is>
      </c>
      <c r="T23" s="58" t="inlineStr">
        <is>
          <t>Registro de asistencia a la comunicación de la política</t>
        </is>
      </c>
      <c r="U23" s="164" t="n"/>
    </row>
    <row r="24" ht="39.75" customFormat="1" customHeight="1" s="60">
      <c r="A24" s="159" t="n"/>
      <c r="B24" s="154" t="n"/>
      <c r="C24" s="155" t="n"/>
      <c r="D24" s="61" t="inlineStr">
        <is>
          <t>E*</t>
        </is>
      </c>
      <c r="E24" s="54" t="n">
        <v>1</v>
      </c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166" t="n"/>
      <c r="R24" s="166" t="n"/>
      <c r="S24" s="165" t="n"/>
      <c r="T24" s="165" t="n"/>
      <c r="U24" s="160" t="n"/>
    </row>
    <row r="25" ht="29.25" customFormat="1" customHeight="1" s="76">
      <c r="A25" s="159" t="n"/>
      <c r="B25" s="77" t="inlineStr">
        <is>
          <t>Revisar la afiliación y pago oportuno de la seguridad social de todos los empleados, contratistas, sub contratistas y demás personal de la empresa.</t>
        </is>
      </c>
      <c r="C25" s="149" t="n"/>
      <c r="D25" s="53" t="inlineStr">
        <is>
          <t>P*</t>
        </is>
      </c>
      <c r="E25" s="54" t="n">
        <v>1</v>
      </c>
      <c r="F25" s="54" t="n">
        <v>1</v>
      </c>
      <c r="G25" s="54" t="n">
        <v>1</v>
      </c>
      <c r="H25" s="54" t="n">
        <v>1</v>
      </c>
      <c r="I25" s="54" t="n">
        <v>1</v>
      </c>
      <c r="J25" s="54" t="n">
        <v>1</v>
      </c>
      <c r="K25" s="54" t="n">
        <v>1</v>
      </c>
      <c r="L25" s="54" t="n">
        <v>1</v>
      </c>
      <c r="M25" s="54" t="n">
        <v>1</v>
      </c>
      <c r="N25" s="54" t="n">
        <v>1</v>
      </c>
      <c r="O25" s="54" t="n">
        <v>1</v>
      </c>
      <c r="P25" s="54" t="n">
        <v>1</v>
      </c>
      <c r="Q25" s="74">
        <f>IFERROR(IF(COUNT(E25:P25)&lt;1,0,IF(COUNT(E26:P26)&gt;=COUNT(E25:P25),1,(COUNT(E26:P26)/COUNT(E25:P25)))),0)</f>
        <v/>
      </c>
      <c r="R25" s="166" t="n"/>
      <c r="S25" s="57" t="inlineStr">
        <is>
          <t>Área SST</t>
        </is>
      </c>
      <c r="T25" s="58" t="inlineStr">
        <is>
          <t>Archivo de las afiliaciones y pagos a la seguridad social</t>
        </is>
      </c>
      <c r="U25" s="75" t="n"/>
    </row>
    <row r="26" ht="26.25" customFormat="1" customHeight="1" s="76">
      <c r="A26" s="159" t="n"/>
      <c r="B26" s="154" t="n"/>
      <c r="C26" s="155" t="n"/>
      <c r="D26" s="61" t="inlineStr">
        <is>
          <t>E*</t>
        </is>
      </c>
      <c r="E26" s="54" t="n">
        <v>1</v>
      </c>
      <c r="F26" s="54" t="n">
        <v>1</v>
      </c>
      <c r="G26" s="54" t="n">
        <v>1</v>
      </c>
      <c r="H26" s="54" t="n">
        <v>1</v>
      </c>
      <c r="I26" s="54" t="n">
        <v>1</v>
      </c>
      <c r="J26" s="54" t="n">
        <v>1</v>
      </c>
      <c r="K26" s="54" t="n">
        <v>1</v>
      </c>
      <c r="L26" s="54" t="n">
        <v>1</v>
      </c>
      <c r="M26" s="54" t="n">
        <v>1</v>
      </c>
      <c r="N26" s="54" t="n">
        <v>1</v>
      </c>
      <c r="O26" s="54" t="n"/>
      <c r="P26" s="54" t="n"/>
      <c r="Q26" s="165" t="n"/>
      <c r="R26" s="166" t="n"/>
      <c r="S26" s="165" t="n"/>
      <c r="T26" s="165" t="n"/>
      <c r="U26" s="160" t="n"/>
    </row>
    <row r="27" ht="32.25" customFormat="1" customHeight="1" s="76">
      <c r="A27" s="159" t="n"/>
      <c r="B27" s="77" t="inlineStr">
        <is>
          <t>Realizar reunión mensual del COPASST/VIGÍA</t>
        </is>
      </c>
      <c r="C27" s="149" t="n"/>
      <c r="D27" s="53" t="inlineStr">
        <is>
          <t>P*</t>
        </is>
      </c>
      <c r="E27" s="54" t="n">
        <v>1</v>
      </c>
      <c r="F27" s="54" t="n">
        <v>1</v>
      </c>
      <c r="G27" s="54" t="n">
        <v>1</v>
      </c>
      <c r="H27" s="54" t="n">
        <v>1</v>
      </c>
      <c r="I27" s="54" t="n">
        <v>1</v>
      </c>
      <c r="J27" s="54" t="n">
        <v>1</v>
      </c>
      <c r="K27" s="54" t="n">
        <v>1</v>
      </c>
      <c r="L27" s="54" t="n">
        <v>1</v>
      </c>
      <c r="M27" s="54" t="n">
        <v>1</v>
      </c>
      <c r="N27" s="54" t="n">
        <v>1</v>
      </c>
      <c r="O27" s="54" t="n">
        <v>1</v>
      </c>
      <c r="P27" s="54" t="n">
        <v>1</v>
      </c>
      <c r="Q27" s="74">
        <f>IFERROR(IF(COUNT(E27:P27)&lt;1,0,IF(COUNT(E28:P28)&gt;=COUNT(E27:P27),1,(COUNT(E28:P28)/COUNT(E27:P27)))),0)</f>
        <v/>
      </c>
      <c r="R27" s="166" t="n"/>
      <c r="S27" s="57" t="inlineStr">
        <is>
          <t>COPASST/VIGÏA</t>
        </is>
      </c>
      <c r="T27" s="58" t="inlineStr">
        <is>
          <t>Actas de reuniones mensuales</t>
        </is>
      </c>
      <c r="U27" s="75" t="n"/>
    </row>
    <row r="28" ht="27" customFormat="1" customHeight="1" s="76">
      <c r="A28" s="159" t="n"/>
      <c r="B28" s="154" t="n"/>
      <c r="C28" s="155" t="n"/>
      <c r="D28" s="61" t="inlineStr">
        <is>
          <t>E*</t>
        </is>
      </c>
      <c r="E28" s="54" t="n">
        <v>1</v>
      </c>
      <c r="F28" s="54" t="n">
        <v>1</v>
      </c>
      <c r="G28" s="54" t="n">
        <v>1</v>
      </c>
      <c r="H28" s="54" t="n">
        <v>1</v>
      </c>
      <c r="I28" s="54" t="n">
        <v>1</v>
      </c>
      <c r="J28" s="54" t="n">
        <v>1</v>
      </c>
      <c r="K28" s="54" t="n">
        <v>1</v>
      </c>
      <c r="L28" s="54" t="n">
        <v>1</v>
      </c>
      <c r="M28" s="54" t="n">
        <v>1</v>
      </c>
      <c r="N28" s="54" t="n">
        <v>1</v>
      </c>
      <c r="O28" s="54" t="n"/>
      <c r="P28" s="54" t="n"/>
      <c r="Q28" s="165" t="n"/>
      <c r="R28" s="166" t="n"/>
      <c r="S28" s="165" t="n"/>
      <c r="T28" s="165" t="n"/>
      <c r="U28" s="160" t="n"/>
    </row>
    <row r="29" ht="25.5" customFormat="1" customHeight="1" s="76">
      <c r="A29" s="159" t="n"/>
      <c r="B29" s="77" t="inlineStr">
        <is>
          <t>Solicitar mensualmente a la ARL informes sobre accidentalidad y enfermedades laborales</t>
        </is>
      </c>
      <c r="C29" s="149" t="n"/>
      <c r="D29" s="53" t="inlineStr">
        <is>
          <t>P*</t>
        </is>
      </c>
      <c r="E29" s="54" t="n">
        <v>1</v>
      </c>
      <c r="F29" s="54" t="n">
        <v>1</v>
      </c>
      <c r="G29" s="54" t="n">
        <v>1</v>
      </c>
      <c r="H29" s="54" t="n">
        <v>1</v>
      </c>
      <c r="I29" s="54" t="n">
        <v>1</v>
      </c>
      <c r="J29" s="54" t="n">
        <v>1</v>
      </c>
      <c r="K29" s="54" t="n">
        <v>1</v>
      </c>
      <c r="L29" s="54" t="n">
        <v>1</v>
      </c>
      <c r="M29" s="54" t="n">
        <v>1</v>
      </c>
      <c r="N29" s="54" t="n">
        <v>1</v>
      </c>
      <c r="O29" s="54" t="n">
        <v>1</v>
      </c>
      <c r="P29" s="54" t="n">
        <v>1</v>
      </c>
      <c r="Q29" s="74">
        <f>IFERROR(IF(COUNT(E29:P29)&lt;1,0,IF(COUNT(E30:P30)&gt;=COUNT(E29:P29),1,(COUNT(E30:P30)/COUNT(E29:P29)))),0)</f>
        <v/>
      </c>
      <c r="R29" s="166" t="n"/>
      <c r="S29" s="57" t="inlineStr">
        <is>
          <t>COPASST/VIGÍA y área SST</t>
        </is>
      </c>
      <c r="T29" s="58" t="inlineStr">
        <is>
          <t>Registro de la comunicación de los informes de accidentalidad y enfermedades laborales</t>
        </is>
      </c>
      <c r="U29" s="75" t="n"/>
    </row>
    <row r="30" ht="25.5" customFormat="1" customHeight="1" s="76">
      <c r="A30" s="159" t="n"/>
      <c r="B30" s="154" t="n"/>
      <c r="C30" s="155" t="n"/>
      <c r="D30" s="61" t="inlineStr">
        <is>
          <t>E*</t>
        </is>
      </c>
      <c r="E30" s="54" t="n">
        <v>1</v>
      </c>
      <c r="F30" s="54" t="n">
        <v>1</v>
      </c>
      <c r="G30" s="54" t="n">
        <v>1</v>
      </c>
      <c r="H30" s="54" t="n">
        <v>1</v>
      </c>
      <c r="I30" s="54" t="n">
        <v>1</v>
      </c>
      <c r="J30" s="54" t="n">
        <v>1</v>
      </c>
      <c r="K30" s="54" t="n">
        <v>1</v>
      </c>
      <c r="L30" s="54" t="n">
        <v>1</v>
      </c>
      <c r="M30" s="54" t="n">
        <v>1</v>
      </c>
      <c r="N30" s="54" t="n">
        <v>1</v>
      </c>
      <c r="O30" s="54" t="n"/>
      <c r="P30" s="54" t="n"/>
      <c r="Q30" s="165" t="n"/>
      <c r="R30" s="166" t="n"/>
      <c r="S30" s="165" t="n"/>
      <c r="T30" s="165" t="n"/>
      <c r="U30" s="160" t="n"/>
    </row>
    <row r="31" ht="35.25" customFormat="1" customHeight="1" s="76">
      <c r="A31" s="159" t="n"/>
      <c r="B31" s="77" t="inlineStr">
        <is>
          <t>Reunión trimestral del comité de convivencia laboral</t>
        </is>
      </c>
      <c r="C31" s="149" t="n"/>
      <c r="D31" s="53" t="inlineStr">
        <is>
          <t>P*</t>
        </is>
      </c>
      <c r="E31" s="54" t="n"/>
      <c r="F31" s="54" t="n">
        <v>1</v>
      </c>
      <c r="G31" s="54" t="n"/>
      <c r="H31" s="54" t="n"/>
      <c r="I31" s="54" t="n">
        <v>1</v>
      </c>
      <c r="J31" s="54" t="n"/>
      <c r="K31" s="54" t="n"/>
      <c r="L31" s="54" t="n">
        <v>1</v>
      </c>
      <c r="M31" s="54" t="n"/>
      <c r="N31" s="54" t="n"/>
      <c r="O31" s="54" t="n">
        <v>1</v>
      </c>
      <c r="P31" s="54" t="n"/>
      <c r="Q31" s="74">
        <f>IFERROR(IF(COUNT(E31:P31)&lt;1,0,IF(COUNT(E32:P32)&gt;=COUNT(E31:P31),1,(COUNT(E32:P32)/COUNT(E31:P31)))),0)</f>
        <v/>
      </c>
      <c r="R31" s="166" t="n"/>
      <c r="S31" s="57" t="inlineStr">
        <is>
          <t>Comité de convivencia laboral</t>
        </is>
      </c>
      <c r="T31" s="58" t="inlineStr">
        <is>
          <t>Acta de reunión del comité de convivencia laboral</t>
        </is>
      </c>
      <c r="U31" s="75" t="n"/>
    </row>
    <row r="32" ht="33" customFormat="1" customHeight="1" s="76">
      <c r="A32" s="159" t="n"/>
      <c r="B32" s="154" t="n"/>
      <c r="C32" s="155" t="n"/>
      <c r="D32" s="61" t="inlineStr">
        <is>
          <t>E*</t>
        </is>
      </c>
      <c r="E32" s="54" t="n"/>
      <c r="F32" s="54" t="n">
        <v>1</v>
      </c>
      <c r="G32" s="54" t="n"/>
      <c r="H32" s="54" t="n"/>
      <c r="I32" s="54" t="n">
        <v>1</v>
      </c>
      <c r="J32" s="54" t="n"/>
      <c r="K32" s="54" t="n"/>
      <c r="L32" s="54" t="n">
        <v>1</v>
      </c>
      <c r="M32" s="54" t="n"/>
      <c r="N32" s="54" t="n"/>
      <c r="O32" s="54" t="n"/>
      <c r="P32" s="54" t="n"/>
      <c r="Q32" s="165" t="n"/>
      <c r="R32" s="166" t="n"/>
      <c r="S32" s="165" t="n"/>
      <c r="T32" s="165" t="n"/>
      <c r="U32" s="160" t="n"/>
    </row>
    <row r="33" ht="35.25" customFormat="1" customHeight="1" s="76">
      <c r="A33" s="159" t="n"/>
      <c r="B33" s="77" t="inlineStr">
        <is>
          <t>Recibir las quejas de acoso laboral, darle su respectivo trámite y resolución</t>
        </is>
      </c>
      <c r="C33" s="149" t="n"/>
      <c r="D33" s="53" t="inlineStr">
        <is>
          <t>P*</t>
        </is>
      </c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74">
        <f>IFERROR(IF(COUNT(E33:P33)&lt;1,0,IF(COUNT(E34:P34)&gt;=COUNT(E33:P33),1,(COUNT(E34:P34)/COUNT(E33:P33)))),0)</f>
        <v/>
      </c>
      <c r="R33" s="166" t="n"/>
      <c r="S33" s="57" t="inlineStr">
        <is>
          <t>Comité de convivencia laboral</t>
        </is>
      </c>
      <c r="T33" s="58" t="inlineStr">
        <is>
          <t xml:space="preserve">Registro de quejas de acoso laboral y su respectiva resolución por parte del comité </t>
        </is>
      </c>
      <c r="U33" s="75" t="inlineStr">
        <is>
          <t>Cuando se requiera</t>
        </is>
      </c>
    </row>
    <row r="34" ht="33" customFormat="1" customHeight="1" s="76">
      <c r="A34" s="159" t="n"/>
      <c r="B34" s="154" t="n"/>
      <c r="C34" s="155" t="n"/>
      <c r="D34" s="61" t="inlineStr">
        <is>
          <t>E*</t>
        </is>
      </c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165" t="n"/>
      <c r="R34" s="166" t="n"/>
      <c r="S34" s="165" t="n"/>
      <c r="T34" s="165" t="n"/>
      <c r="U34" s="160" t="n"/>
    </row>
    <row r="35" ht="30" customFormat="1" customHeight="1" s="76">
      <c r="A35" s="159" t="n"/>
      <c r="B35" s="77" t="inlineStr">
        <is>
          <t>Revisar la política SST; en la cual se corrobore el compromiso de la empresa, que sea específica de acuerdo a las características de la organización, estar fechada, firmada por el representante legal: Carlos Andrés Muñoz Parra</t>
        </is>
      </c>
      <c r="C35" s="149" t="n"/>
      <c r="D35" s="53" t="inlineStr">
        <is>
          <t>P*</t>
        </is>
      </c>
      <c r="E35" s="54" t="n">
        <v>1</v>
      </c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74">
        <f>IFERROR(IF(COUNT(E35:P35)&lt;1,0,IF(COUNT(E36:P36)&gt;=COUNT(E35:P35),1,(COUNT(E36:P36)/COUNT(E35:P35)))),0)</f>
        <v/>
      </c>
      <c r="R35" s="166" t="n"/>
      <c r="S35" s="57" t="inlineStr">
        <is>
          <t>Empleador, área SST, COPASST/VIGÍA</t>
        </is>
      </c>
      <c r="T35" s="58" t="inlineStr">
        <is>
          <t>Registro de la revisión y actualización en caso de requerirse</t>
        </is>
      </c>
      <c r="U35" s="75" t="n"/>
    </row>
    <row r="36" ht="30" customFormat="1" customHeight="1" s="76">
      <c r="A36" s="159" t="n"/>
      <c r="B36" s="154" t="n"/>
      <c r="C36" s="155" t="n"/>
      <c r="D36" s="61" t="inlineStr">
        <is>
          <t>E*</t>
        </is>
      </c>
      <c r="E36" s="54" t="n">
        <v>1</v>
      </c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165" t="n"/>
      <c r="R36" s="166" t="n"/>
      <c r="S36" s="165" t="n"/>
      <c r="T36" s="165" t="n"/>
      <c r="U36" s="160" t="n"/>
    </row>
    <row r="37" ht="33" customFormat="1" customHeight="1" s="76">
      <c r="A37" s="159" t="n"/>
      <c r="B37" s="77" t="inlineStr">
        <is>
          <t>Comunicar los objetivos del SG-SST a todos los trabajadores</t>
        </is>
      </c>
      <c r="C37" s="149" t="n"/>
      <c r="D37" s="53" t="inlineStr">
        <is>
          <t>P*</t>
        </is>
      </c>
      <c r="E37" s="54" t="n">
        <v>1</v>
      </c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74">
        <f>IFERROR(IF(COUNT(E37:P37)&lt;1,0,IF(COUNT(E38:P38)&gt;=COUNT(E37:P37),1,(COUNT(E38:P38)/COUNT(E37:P37)))),0)</f>
        <v/>
      </c>
      <c r="R37" s="166" t="n"/>
      <c r="S37" s="57" t="inlineStr">
        <is>
          <t>Área SST</t>
        </is>
      </c>
      <c r="T37" s="58" t="inlineStr">
        <is>
          <t>Registro de la comunicación de los objetivos del SG-SST a todos los trabajadores</t>
        </is>
      </c>
      <c r="U37" s="75" t="n"/>
    </row>
    <row r="38" ht="33" customFormat="1" customHeight="1" s="76">
      <c r="A38" s="159" t="n"/>
      <c r="B38" s="154" t="n"/>
      <c r="C38" s="155" t="n"/>
      <c r="D38" s="61" t="inlineStr">
        <is>
          <t>E*</t>
        </is>
      </c>
      <c r="E38" s="54" t="n">
        <v>1</v>
      </c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165" t="n"/>
      <c r="R38" s="166" t="n"/>
      <c r="S38" s="165" t="n"/>
      <c r="T38" s="165" t="n"/>
      <c r="U38" s="160" t="n"/>
    </row>
    <row r="39" ht="25.5" customFormat="1" customHeight="1" s="76">
      <c r="A39" s="159" t="n"/>
      <c r="B39" s="77" t="inlineStr">
        <is>
          <t>Realizar la evaluación inicial/autoevaluación del SG-SST</t>
        </is>
      </c>
      <c r="C39" s="149" t="n"/>
      <c r="D39" s="53" t="inlineStr">
        <is>
          <t>P*</t>
        </is>
      </c>
      <c r="E39" s="54" t="n">
        <v>1</v>
      </c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4" t="n"/>
      <c r="Q39" s="74">
        <f>IFERROR(IF(COUNT(E39:P39)&lt;1,0,IF(COUNT(E40:P40)&gt;=COUNT(E39:P39),1,(COUNT(E40:P40)/COUNT(E39:P39)))),0)</f>
        <v/>
      </c>
      <c r="R39" s="166" t="n"/>
      <c r="S39" s="57" t="inlineStr">
        <is>
          <t>Área SST</t>
        </is>
      </c>
      <c r="T39" s="58" t="inlineStr">
        <is>
          <t>Registro de la evaluación inicial/autoevaluación del SG-SST</t>
        </is>
      </c>
      <c r="U39" s="75" t="n"/>
    </row>
    <row r="40" ht="27" customFormat="1" customHeight="1" s="76">
      <c r="A40" s="159" t="n"/>
      <c r="B40" s="154" t="n"/>
      <c r="C40" s="155" t="n"/>
      <c r="D40" s="61" t="inlineStr">
        <is>
          <t>E*</t>
        </is>
      </c>
      <c r="E40" s="54" t="n">
        <v>1</v>
      </c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165" t="n"/>
      <c r="R40" s="166" t="n"/>
      <c r="S40" s="165" t="n"/>
      <c r="T40" s="165" t="n"/>
      <c r="U40" s="160" t="n"/>
    </row>
    <row r="41" ht="27" customFormat="1" customHeight="1" s="76">
      <c r="A41" s="159" t="n"/>
      <c r="B41" s="77" t="inlineStr">
        <is>
          <t>Actualizar plan anual de trabajo y cumplir con las actividades establecidas para el funcionamiento del SG-SST.</t>
        </is>
      </c>
      <c r="C41" s="149" t="n"/>
      <c r="D41" s="53" t="inlineStr">
        <is>
          <t>P*</t>
        </is>
      </c>
      <c r="E41" s="54" t="n">
        <v>1</v>
      </c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74">
        <f>IFERROR(IF(COUNT(E41:P41)&lt;1,0,IF(COUNT(E42:P42)&gt;=COUNT(E41:P41),1,(COUNT(E42:P42)/COUNT(E41:P41)))),0)</f>
        <v/>
      </c>
      <c r="R41" s="166" t="n"/>
      <c r="S41" s="57" t="inlineStr">
        <is>
          <t>Área SST, empleador, COPASST/VIGÍA, CCL y brigadistas</t>
        </is>
      </c>
      <c r="T41" s="58" t="inlineStr">
        <is>
          <t>Elaboración del plan de trabajo anual y cumplir con las actividades establecidas a la fecha.</t>
        </is>
      </c>
      <c r="U41" s="75" t="n"/>
    </row>
    <row r="42" ht="27" customFormat="1" customHeight="1" s="76">
      <c r="A42" s="159" t="n"/>
      <c r="B42" s="154" t="n"/>
      <c r="C42" s="155" t="n"/>
      <c r="D42" s="61" t="inlineStr">
        <is>
          <t>E*</t>
        </is>
      </c>
      <c r="E42" s="54" t="n">
        <v>1</v>
      </c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165" t="n"/>
      <c r="R42" s="166" t="n"/>
      <c r="S42" s="165" t="n"/>
      <c r="T42" s="165" t="n"/>
      <c r="U42" s="160" t="n"/>
    </row>
    <row r="43" ht="35.25" customFormat="1" customHeight="1" s="76">
      <c r="A43" s="159" t="n"/>
      <c r="B43" s="77" t="inlineStr">
        <is>
          <t>Realizar trazabilidad a los cambios derivados de la gestión documental</t>
        </is>
      </c>
      <c r="C43" s="149" t="n"/>
      <c r="D43" s="53" t="inlineStr">
        <is>
          <t>P*</t>
        </is>
      </c>
      <c r="E43" s="54" t="n">
        <v>1</v>
      </c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  <c r="P43" s="54" t="n"/>
      <c r="Q43" s="74">
        <f>IFERROR(IF(COUNT(E43:P43)&lt;1,0,IF(COUNT(E44:P44)&gt;=COUNT(E43:P43),1,(COUNT(E44:P44)/COUNT(E43:P43)))),0)</f>
        <v/>
      </c>
      <c r="R43" s="166" t="n"/>
      <c r="S43" s="57" t="inlineStr">
        <is>
          <t>Área SST</t>
        </is>
      </c>
      <c r="T43" s="58" t="inlineStr">
        <is>
          <t>Registro de los cambios en el listado maestro de documentos</t>
        </is>
      </c>
      <c r="U43" s="75" t="inlineStr">
        <is>
          <t>Cuando se requiera</t>
        </is>
      </c>
    </row>
    <row r="44" ht="28.5" customFormat="1" customHeight="1" s="76">
      <c r="A44" s="159" t="n"/>
      <c r="B44" s="154" t="n"/>
      <c r="C44" s="155" t="n"/>
      <c r="D44" s="61" t="inlineStr">
        <is>
          <t>E*</t>
        </is>
      </c>
      <c r="E44" s="54" t="n">
        <v>1</v>
      </c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165" t="n"/>
      <c r="R44" s="166" t="n"/>
      <c r="S44" s="165" t="n"/>
      <c r="T44" s="165" t="n"/>
      <c r="U44" s="160" t="n"/>
    </row>
    <row r="45" ht="33" customFormat="1" customHeight="1" s="76">
      <c r="A45" s="159" t="n"/>
      <c r="B45" s="77" t="inlineStr">
        <is>
          <t>Realizar la rendición de cuentas anual por parte de la alta dirección, responsable del SG-SST, COPASST/VIGÍA, comité de convivencia laboral y brigada de emergencias  : ___________________________ (Firma, Licencia y Responsabilidad)</t>
        </is>
      </c>
      <c r="C45" s="149" t="n"/>
      <c r="D45" s="53" t="inlineStr">
        <is>
          <t>P*</t>
        </is>
      </c>
      <c r="E45" s="54" t="n">
        <v>1</v>
      </c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4" t="n"/>
      <c r="Q45" s="74">
        <f>IFERROR(IF(COUNT(E45:P45)&lt;1,0,IF(COUNT(E46:P46)&gt;=COUNT(E45:P45),1,(COUNT(E46:P46)/COUNT(E45:P45)))),0)</f>
        <v/>
      </c>
      <c r="R45" s="166" t="n"/>
      <c r="S45" s="57" t="inlineStr">
        <is>
          <t>Empleador, área SST, COPASST/VIGÍA, CCL y brigadas de emergencias.</t>
        </is>
      </c>
      <c r="T45" s="58" t="inlineStr">
        <is>
          <t>Informe de rendición de cuenta anual</t>
        </is>
      </c>
      <c r="U45" s="75" t="n"/>
    </row>
    <row r="46" ht="30" customFormat="1" customHeight="1" s="76">
      <c r="A46" s="159" t="n"/>
      <c r="B46" s="154" t="n"/>
      <c r="C46" s="155" t="n"/>
      <c r="D46" s="61" t="inlineStr">
        <is>
          <t>E*</t>
        </is>
      </c>
      <c r="E46" s="54" t="n">
        <v>1</v>
      </c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165" t="n"/>
      <c r="R46" s="166" t="n"/>
      <c r="S46" s="165" t="n"/>
      <c r="T46" s="165" t="n"/>
      <c r="U46" s="160" t="n"/>
    </row>
    <row r="47" ht="24" customFormat="1" customHeight="1" s="76">
      <c r="A47" s="159" t="n"/>
      <c r="B47" s="77" t="inlineStr">
        <is>
          <t>Actualizar la matriz legal de riesgos laborales de acuerdo a la normatividad actual nacional vigente que aplique a la empresa</t>
        </is>
      </c>
      <c r="C47" s="149" t="n"/>
      <c r="D47" s="53" t="inlineStr">
        <is>
          <t>P*</t>
        </is>
      </c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74">
        <f>IFERROR(IF(COUNT(E47:P47)&lt;1,0,IF(COUNT(E48:P48)&gt;=COUNT(E47:P47),1,(COUNT(E48:P48)/COUNT(E47:P47)))),0)</f>
        <v/>
      </c>
      <c r="R47" s="166" t="n"/>
      <c r="S47" s="57" t="inlineStr">
        <is>
          <t>Área SST, empleador</t>
        </is>
      </c>
      <c r="T47" s="58" t="inlineStr">
        <is>
          <t>Matriz legal actualizada</t>
        </is>
      </c>
      <c r="U47" s="77" t="inlineStr">
        <is>
          <t xml:space="preserve">A medida que sean emitidas nuevas disposiciones
aplicables a la empresa. </t>
        </is>
      </c>
    </row>
    <row r="48" ht="24" customFormat="1" customHeight="1" s="76">
      <c r="A48" s="159" t="n"/>
      <c r="B48" s="154" t="n"/>
      <c r="C48" s="155" t="n"/>
      <c r="D48" s="61" t="inlineStr">
        <is>
          <t>E*</t>
        </is>
      </c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165" t="n"/>
      <c r="R48" s="166" t="n"/>
      <c r="S48" s="165" t="n"/>
      <c r="T48" s="165" t="n"/>
      <c r="U48" s="160" t="n"/>
    </row>
    <row r="49" ht="24" customFormat="1" customHeight="1" s="76">
      <c r="A49" s="159" t="n"/>
      <c r="B49" s="77" t="inlineStr">
        <is>
          <t xml:space="preserve">Cumplir con la evaluación inicial y/o periódica y/o final a los proveedores y contratistas </t>
        </is>
      </c>
      <c r="C49" s="149" t="n"/>
      <c r="D49" s="53" t="inlineStr">
        <is>
          <t>P*</t>
        </is>
      </c>
      <c r="E49" s="54" t="n">
        <v>1</v>
      </c>
      <c r="F49" s="54" t="n"/>
      <c r="G49" s="54" t="n"/>
      <c r="H49" s="54" t="n"/>
      <c r="I49" s="54" t="n"/>
      <c r="J49" s="54" t="n"/>
      <c r="K49" s="54" t="n">
        <v>1</v>
      </c>
      <c r="L49" s="54" t="n"/>
      <c r="M49" s="54" t="n"/>
      <c r="N49" s="54" t="n"/>
      <c r="O49" s="54" t="n"/>
      <c r="P49" s="54" t="n"/>
      <c r="Q49" s="74">
        <f>IFERROR(IF(COUNT(E49:P49)&lt;1,0,IF(COUNT(E50:P50)&gt;=COUNT(E49:P49),1,(COUNT(E50:P50)/COUNT(E49:P49)))),0)</f>
        <v/>
      </c>
      <c r="R49" s="166" t="n"/>
      <c r="S49" s="57" t="inlineStr">
        <is>
          <t>Área SST</t>
        </is>
      </c>
      <c r="T49" s="58" t="inlineStr">
        <is>
          <t>Soporte de las evaluaciones realizadas a los proveedores  y contratistas</t>
        </is>
      </c>
      <c r="U49" s="75" t="n"/>
    </row>
    <row r="50" ht="24" customFormat="1" customHeight="1" s="76">
      <c r="A50" s="159" t="n"/>
      <c r="B50" s="154" t="n"/>
      <c r="C50" s="155" t="n"/>
      <c r="D50" s="61" t="inlineStr">
        <is>
          <t>E*</t>
        </is>
      </c>
      <c r="E50" s="54" t="n">
        <v>1</v>
      </c>
      <c r="F50" s="54" t="n"/>
      <c r="G50" s="54" t="n"/>
      <c r="H50" s="54" t="n"/>
      <c r="I50" s="54" t="n"/>
      <c r="J50" s="54" t="n"/>
      <c r="K50" s="54" t="n">
        <v>1</v>
      </c>
      <c r="L50" s="54" t="n"/>
      <c r="M50" s="54" t="n"/>
      <c r="N50" s="54" t="n"/>
      <c r="O50" s="54" t="n"/>
      <c r="P50" s="54" t="n"/>
      <c r="Q50" s="165" t="n"/>
      <c r="R50" s="166" t="n"/>
      <c r="S50" s="165" t="n"/>
      <c r="T50" s="165" t="n"/>
      <c r="U50" s="160" t="n"/>
    </row>
    <row r="51" ht="27.75" customFormat="1" customHeight="1" s="76">
      <c r="A51" s="159" t="n"/>
      <c r="B51" s="77" t="inlineStr">
        <is>
          <t>Evaluar los cambios internos o externos que se generen en la empresa y comunicarselos al COPASST/VIGÍA</t>
        </is>
      </c>
      <c r="C51" s="149" t="n"/>
      <c r="D51" s="53" t="inlineStr">
        <is>
          <t>P*</t>
        </is>
      </c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74">
        <f>IFERROR(IF(COUNT(E51:P51)&lt;1,0,IF(COUNT(E52:P52)&gt;=COUNT(E51:P51),1,(COUNT(E52:P52)/COUNT(E51:P51)))),0)</f>
        <v/>
      </c>
      <c r="R51" s="166" t="n"/>
      <c r="S51" s="57" t="inlineStr">
        <is>
          <t>Área SST, empleador, COPASST/VIGÍA y persona responsable del cambio.</t>
        </is>
      </c>
      <c r="T51" s="58" t="inlineStr">
        <is>
          <t>Soporte de la evaluación del cambio aplicado.</t>
        </is>
      </c>
      <c r="U51" s="75" t="inlineStr">
        <is>
          <t>Cuando se requiera</t>
        </is>
      </c>
    </row>
    <row r="52" ht="27" customFormat="1" customHeight="1" s="76">
      <c r="A52" s="160" t="n"/>
      <c r="B52" s="154" t="n"/>
      <c r="C52" s="155" t="n"/>
      <c r="D52" s="61" t="inlineStr">
        <is>
          <t>E*</t>
        </is>
      </c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165" t="n"/>
      <c r="R52" s="165" t="n"/>
      <c r="S52" s="165" t="n"/>
      <c r="T52" s="165" t="n"/>
      <c r="U52" s="160" t="n"/>
    </row>
    <row r="53" ht="31.5" customFormat="1" customHeight="1" s="76">
      <c r="A53" s="78" t="n"/>
      <c r="B53" s="77" t="inlineStr">
        <is>
          <t>Cumplir con las actividades establecidas en el programa de medicina preventiva</t>
        </is>
      </c>
      <c r="C53" s="149" t="n"/>
      <c r="D53" s="53" t="inlineStr">
        <is>
          <t>P*</t>
        </is>
      </c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74">
        <f>IFERROR(IF(COUNT(E53:P53)&lt;1,0,IF(COUNT(E54:P54)&gt;=COUNT(E53:P53),1,(COUNT(E54:P54)/COUNT(E53:P53)))),0)</f>
        <v/>
      </c>
      <c r="R53" s="56" t="n"/>
      <c r="S53" s="57" t="inlineStr">
        <is>
          <t>Empleador y área SST</t>
        </is>
      </c>
      <c r="T53" s="58" t="inlineStr">
        <is>
          <t xml:space="preserve">Registro de fotográfico y de asistencia a las actividades de medicina preventiva establecida por la empresa. </t>
        </is>
      </c>
      <c r="U53" s="77" t="n"/>
    </row>
    <row r="54" ht="29.25" customFormat="1" customHeight="1" s="76">
      <c r="A54" s="159" t="n"/>
      <c r="B54" s="154" t="n"/>
      <c r="C54" s="155" t="n"/>
      <c r="D54" s="61" t="inlineStr">
        <is>
          <t>E*</t>
        </is>
      </c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165" t="n"/>
      <c r="R54" s="166" t="n"/>
      <c r="S54" s="165" t="n"/>
      <c r="T54" s="165" t="n"/>
      <c r="U54" s="160" t="n"/>
    </row>
    <row r="55" ht="36" customFormat="1" customHeight="1" s="76">
      <c r="A55" s="159" t="n"/>
      <c r="B55" s="77" t="inlineStr">
        <is>
          <t>Realizar las evaluaciones médico ocupacionales de pre ingreso, periódicos y egreso conforme a lo establecido en el profesiograma y los exámenes. También aplican exámenes médicos post incapacidad, por cambios en las condiciones de trabajo y los exámenes especiales para re ubicar o re adaptar a un trabajador</t>
        </is>
      </c>
      <c r="C55" s="149" t="n"/>
      <c r="D55" s="53" t="inlineStr">
        <is>
          <t>P*</t>
        </is>
      </c>
      <c r="E55" s="54" t="n">
        <v>1</v>
      </c>
      <c r="F55" s="54" t="n"/>
      <c r="G55" s="54" t="n">
        <v>1</v>
      </c>
      <c r="H55" s="54" t="n"/>
      <c r="I55" s="54" t="n">
        <v>1</v>
      </c>
      <c r="J55" s="54" t="n"/>
      <c r="K55" s="54" t="n"/>
      <c r="L55" s="54" t="n"/>
      <c r="M55" s="54" t="n"/>
      <c r="N55" s="54" t="n"/>
      <c r="O55" s="54" t="n"/>
      <c r="P55" s="54" t="n"/>
      <c r="Q55" s="74">
        <f>IFERROR(IF(COUNT(E55:P55)&lt;1,0,IF(COUNT(E56:P56)&gt;=COUNT(E55:P55),1,(COUNT(E56:P56)/COUNT(E55:P55)))),0)</f>
        <v/>
      </c>
      <c r="R55" s="166" t="n"/>
      <c r="S55" s="57" t="inlineStr">
        <is>
          <t>Empleador</t>
        </is>
      </c>
      <c r="T55" s="58" t="inlineStr">
        <is>
          <t>Registro de los exámenes médico ocupacionales realizado a todos los trabajadores</t>
        </is>
      </c>
      <c r="U55" s="77" t="inlineStr">
        <is>
          <t>Cuando se requiera</t>
        </is>
      </c>
    </row>
    <row r="56" ht="36.75" customFormat="1" customHeight="1" s="76">
      <c r="A56" s="159" t="n"/>
      <c r="B56" s="154" t="n"/>
      <c r="C56" s="155" t="n"/>
      <c r="D56" s="61" t="inlineStr">
        <is>
          <t>E*</t>
        </is>
      </c>
      <c r="E56" s="54" t="n">
        <v>1</v>
      </c>
      <c r="F56" s="54" t="n"/>
      <c r="G56" s="54" t="n">
        <v>1</v>
      </c>
      <c r="H56" s="54" t="n"/>
      <c r="I56" s="54" t="n">
        <v>1</v>
      </c>
      <c r="J56" s="54" t="n"/>
      <c r="K56" s="54" t="n"/>
      <c r="L56" s="54" t="n"/>
      <c r="M56" s="54" t="n"/>
      <c r="N56" s="54" t="n"/>
      <c r="O56" s="54" t="n"/>
      <c r="P56" s="54" t="n"/>
      <c r="Q56" s="165" t="n"/>
      <c r="R56" s="166" t="n"/>
      <c r="S56" s="165" t="n"/>
      <c r="T56" s="165" t="n"/>
      <c r="U56" s="160" t="n"/>
    </row>
    <row r="57" ht="30" customFormat="1" customHeight="1" s="76">
      <c r="A57" s="159" t="n"/>
      <c r="B57" s="77" t="inlineStr">
        <is>
          <t>Comunicar a los trabajadores el resultado de los exámenes médicos  a todos los trabajadores, priorizando cuando tenga alguna restricción o recomendación médica y hacer seguimiento.</t>
        </is>
      </c>
      <c r="C57" s="149" t="n"/>
      <c r="D57" s="53" t="inlineStr">
        <is>
          <t>P*</t>
        </is>
      </c>
      <c r="E57" s="54" t="n">
        <v>1</v>
      </c>
      <c r="F57" s="54" t="n"/>
      <c r="G57" s="54" t="n">
        <v>1</v>
      </c>
      <c r="H57" s="54" t="n"/>
      <c r="I57" s="54" t="n">
        <v>1</v>
      </c>
      <c r="J57" s="54" t="n"/>
      <c r="K57" s="54" t="n"/>
      <c r="L57" s="54" t="n"/>
      <c r="M57" s="54" t="n"/>
      <c r="N57" s="54" t="n"/>
      <c r="O57" s="54" t="n"/>
      <c r="P57" s="54" t="n"/>
      <c r="Q57" s="74">
        <f>IFERROR(IF(COUNT(E57:P57)&lt;1,0,IF(COUNT(E58:P58)&gt;=COUNT(E57:P57),1,(COUNT(E58:P58)/COUNT(E57:P57)))),0)</f>
        <v/>
      </c>
      <c r="R57" s="166" t="n"/>
      <c r="S57" s="57" t="inlineStr">
        <is>
          <t>Área SST y empleador</t>
        </is>
      </c>
      <c r="T57" s="58" t="inlineStr">
        <is>
          <t>Registro de notificación de  los resultados de los exámenes médico ocupacionales</t>
        </is>
      </c>
      <c r="U57" s="77" t="inlineStr">
        <is>
          <t>Cuando se requiera</t>
        </is>
      </c>
    </row>
    <row r="58" ht="30.75" customFormat="1" customHeight="1" s="76">
      <c r="A58" s="159" t="n"/>
      <c r="B58" s="154" t="n"/>
      <c r="C58" s="155" t="n"/>
      <c r="D58" s="61" t="inlineStr">
        <is>
          <t>E*</t>
        </is>
      </c>
      <c r="E58" s="54" t="n">
        <v>1</v>
      </c>
      <c r="F58" s="54" t="n"/>
      <c r="G58" s="54" t="n">
        <v>1</v>
      </c>
      <c r="H58" s="54" t="n"/>
      <c r="I58" s="54" t="n">
        <v>1</v>
      </c>
      <c r="J58" s="54" t="n"/>
      <c r="K58" s="54" t="n"/>
      <c r="L58" s="54" t="n"/>
      <c r="M58" s="54" t="n"/>
      <c r="N58" s="54" t="n"/>
      <c r="O58" s="54" t="n"/>
      <c r="P58" s="54" t="n"/>
      <c r="Q58" s="165" t="n"/>
      <c r="R58" s="166" t="n"/>
      <c r="S58" s="165" t="n"/>
      <c r="T58" s="165" t="n"/>
      <c r="U58" s="160" t="n"/>
    </row>
    <row r="59" ht="33.75" customFormat="1" customHeight="1" s="76">
      <c r="A59" s="159" t="n"/>
      <c r="B59" s="77" t="inlineStr">
        <is>
          <t>Medir los indicadores establecidos en el decreto 1072/2015 de acuerdo a su frecuencia y cumpliendo con las características de la ficha de indicadores</t>
        </is>
      </c>
      <c r="C59" s="149" t="n"/>
      <c r="D59" s="53" t="inlineStr">
        <is>
          <t>P*</t>
        </is>
      </c>
      <c r="E59" s="54" t="n">
        <v>1</v>
      </c>
      <c r="F59" s="54" t="n">
        <v>1</v>
      </c>
      <c r="G59" s="54" t="n">
        <v>1</v>
      </c>
      <c r="H59" s="54" t="n">
        <v>1</v>
      </c>
      <c r="I59" s="54" t="n">
        <v>1</v>
      </c>
      <c r="J59" s="54" t="n">
        <v>1</v>
      </c>
      <c r="K59" s="54" t="n">
        <v>1</v>
      </c>
      <c r="L59" s="54" t="n">
        <v>1</v>
      </c>
      <c r="M59" s="54" t="n">
        <v>1</v>
      </c>
      <c r="N59" s="54" t="n">
        <v>1</v>
      </c>
      <c r="O59" s="54" t="n">
        <v>1</v>
      </c>
      <c r="P59" s="54" t="n">
        <v>1</v>
      </c>
      <c r="Q59" s="74">
        <f>IFERROR(IF(COUNT(E59:P59)&lt;1,0,IF(COUNT(E60:P60)&gt;=COUNT(E59:P59),1,(COUNT(E60:P60)/COUNT(E59:P59)))),0)</f>
        <v/>
      </c>
      <c r="R59" s="166" t="n"/>
      <c r="S59" s="57" t="inlineStr">
        <is>
          <t>Área SST</t>
        </is>
      </c>
      <c r="T59" s="58" t="inlineStr">
        <is>
          <t>Registro de indicadores</t>
        </is>
      </c>
      <c r="U59" s="75" t="n"/>
    </row>
    <row r="60" ht="31.5" customFormat="1" customHeight="1" s="76">
      <c r="A60" s="159" t="n"/>
      <c r="B60" s="154" t="n"/>
      <c r="C60" s="155" t="n"/>
      <c r="D60" s="61" t="inlineStr">
        <is>
          <t>E*</t>
        </is>
      </c>
      <c r="E60" s="54" t="n">
        <v>1</v>
      </c>
      <c r="F60" s="54" t="n">
        <v>1</v>
      </c>
      <c r="G60" s="54" t="n">
        <v>1</v>
      </c>
      <c r="H60" s="54" t="n">
        <v>1</v>
      </c>
      <c r="I60" s="54" t="n">
        <v>1</v>
      </c>
      <c r="J60" s="54" t="n">
        <v>1</v>
      </c>
      <c r="K60" s="54" t="n">
        <v>1</v>
      </c>
      <c r="L60" s="54" t="n">
        <v>1</v>
      </c>
      <c r="M60" s="54" t="n">
        <v>1</v>
      </c>
      <c r="N60" s="54" t="n">
        <v>1</v>
      </c>
      <c r="O60" s="54" t="n"/>
      <c r="P60" s="54" t="n"/>
      <c r="Q60" s="165" t="n"/>
      <c r="R60" s="166" t="n"/>
      <c r="S60" s="165" t="n"/>
      <c r="T60" s="165" t="n"/>
      <c r="U60" s="160" t="n"/>
    </row>
    <row r="61" ht="30.75" customFormat="1" customHeight="1" s="76">
      <c r="A61" s="159" t="n"/>
      <c r="B61" s="77" t="inlineStr">
        <is>
          <t>Realizar mediciones ambientales de iluminación y comunicar el resultado de la medición al COPAST/VIGÍA</t>
        </is>
      </c>
      <c r="C61" s="149" t="n"/>
      <c r="D61" s="53" t="inlineStr">
        <is>
          <t>P*</t>
        </is>
      </c>
      <c r="E61" s="54" t="n"/>
      <c r="F61" s="54" t="n"/>
      <c r="G61" s="54" t="n"/>
      <c r="H61" s="54" t="n">
        <v>1</v>
      </c>
      <c r="I61" s="54" t="n"/>
      <c r="J61" s="54" t="n"/>
      <c r="K61" s="54" t="n"/>
      <c r="L61" s="54" t="n"/>
      <c r="M61" s="54" t="n"/>
      <c r="N61" s="54" t="n"/>
      <c r="O61" s="54" t="n"/>
      <c r="P61" s="54" t="n"/>
      <c r="Q61" s="74">
        <f>IFERROR(IF(COUNT(E61:P61)&lt;1,0,IF(COUNT(E62:P62)&gt;=COUNT(E61:P61),1,(COUNT(E62:P62)/COUNT(E61:P61)))),0)</f>
        <v/>
      </c>
      <c r="R61" s="166" t="n"/>
      <c r="S61" s="57" t="inlineStr">
        <is>
          <t>Empleador, área SST y COPASST /VIGÍA</t>
        </is>
      </c>
      <c r="T61" s="58" t="inlineStr">
        <is>
          <t>Informe de las mediciones ambientales con comunicación al COPASST/VIGÍA</t>
        </is>
      </c>
      <c r="U61" s="75" t="n"/>
    </row>
    <row r="62" ht="33" customFormat="1" customHeight="1" s="76">
      <c r="A62" s="159" t="n"/>
      <c r="B62" s="154" t="n"/>
      <c r="C62" s="155" t="n"/>
      <c r="D62" s="61" t="inlineStr">
        <is>
          <t>E*</t>
        </is>
      </c>
      <c r="E62" s="54" t="n"/>
      <c r="F62" s="54" t="n"/>
      <c r="G62" s="54" t="n"/>
      <c r="H62" s="54" t="n">
        <v>1</v>
      </c>
      <c r="I62" s="54" t="n"/>
      <c r="J62" s="54" t="n"/>
      <c r="K62" s="54" t="n"/>
      <c r="L62" s="54" t="n"/>
      <c r="M62" s="54" t="n"/>
      <c r="N62" s="54" t="n"/>
      <c r="O62" s="54" t="n"/>
      <c r="P62" s="54" t="n"/>
      <c r="Q62" s="165" t="n"/>
      <c r="R62" s="166" t="n"/>
      <c r="S62" s="165" t="n"/>
      <c r="T62" s="165" t="n"/>
      <c r="U62" s="160" t="n"/>
    </row>
    <row r="63" ht="24" customFormat="1" customHeight="1" s="76">
      <c r="A63" s="159" t="n"/>
      <c r="B63" s="77" t="inlineStr">
        <is>
          <t>Medir la frecuencia de accidentalidad.</t>
        </is>
      </c>
      <c r="C63" s="149" t="n"/>
      <c r="D63" s="53" t="inlineStr">
        <is>
          <t>P*</t>
        </is>
      </c>
      <c r="E63" s="54" t="n">
        <v>1</v>
      </c>
      <c r="F63" s="54" t="n">
        <v>1</v>
      </c>
      <c r="G63" s="54" t="n">
        <v>1</v>
      </c>
      <c r="H63" s="54" t="n">
        <v>1</v>
      </c>
      <c r="I63" s="54" t="n">
        <v>1</v>
      </c>
      <c r="J63" s="54" t="n">
        <v>1</v>
      </c>
      <c r="K63" s="54" t="n">
        <v>1</v>
      </c>
      <c r="L63" s="54" t="n">
        <v>1</v>
      </c>
      <c r="M63" s="54" t="n">
        <v>1</v>
      </c>
      <c r="N63" s="54" t="n">
        <v>1</v>
      </c>
      <c r="O63" s="54" t="n">
        <v>1</v>
      </c>
      <c r="P63" s="54" t="n">
        <v>1</v>
      </c>
      <c r="Q63" s="74">
        <f>IFERROR(IF(COUNT(E63:P63)&lt;1,0,IF(COUNT(E64:P64)&gt;=COUNT(E63:P63),1,(COUNT(E64:P64)/COUNT(E63:P63)))),0)</f>
        <v/>
      </c>
      <c r="R63" s="166" t="n"/>
      <c r="S63" s="57" t="inlineStr">
        <is>
          <t>Área SST</t>
        </is>
      </c>
      <c r="T63" s="58" t="inlineStr">
        <is>
          <t>Registro de indicadores</t>
        </is>
      </c>
      <c r="U63" s="75" t="n"/>
    </row>
    <row r="64" ht="24" customFormat="1" customHeight="1" s="76">
      <c r="A64" s="159" t="n"/>
      <c r="B64" s="154" t="n"/>
      <c r="C64" s="155" t="n"/>
      <c r="D64" s="61" t="inlineStr">
        <is>
          <t>E*</t>
        </is>
      </c>
      <c r="E64" s="54" t="n">
        <v>1</v>
      </c>
      <c r="F64" s="54" t="n">
        <v>1</v>
      </c>
      <c r="G64" s="54" t="n">
        <v>1</v>
      </c>
      <c r="H64" s="54" t="n">
        <v>1</v>
      </c>
      <c r="I64" s="54" t="n">
        <v>1</v>
      </c>
      <c r="J64" s="54" t="n">
        <v>1</v>
      </c>
      <c r="K64" s="54" t="n">
        <v>1</v>
      </c>
      <c r="L64" s="54" t="n">
        <v>1</v>
      </c>
      <c r="M64" s="54" t="n">
        <v>1</v>
      </c>
      <c r="N64" s="54" t="n">
        <v>1</v>
      </c>
      <c r="O64" s="54" t="n"/>
      <c r="P64" s="54" t="n"/>
      <c r="Q64" s="165" t="n"/>
      <c r="R64" s="166" t="n"/>
      <c r="S64" s="165" t="n"/>
      <c r="T64" s="165" t="n"/>
      <c r="U64" s="160" t="n"/>
    </row>
    <row r="65" ht="24" customFormat="1" customHeight="1" s="76">
      <c r="A65" s="159" t="n"/>
      <c r="B65" s="77" t="inlineStr">
        <is>
          <t>Medir la severidad de los accidentes de trabajo.</t>
        </is>
      </c>
      <c r="C65" s="149" t="n"/>
      <c r="D65" s="53" t="inlineStr">
        <is>
          <t>P*</t>
        </is>
      </c>
      <c r="E65" s="54" t="n">
        <v>1</v>
      </c>
      <c r="F65" s="54" t="n">
        <v>1</v>
      </c>
      <c r="G65" s="54" t="n">
        <v>1</v>
      </c>
      <c r="H65" s="54" t="n">
        <v>1</v>
      </c>
      <c r="I65" s="54" t="n">
        <v>1</v>
      </c>
      <c r="J65" s="54" t="n">
        <v>1</v>
      </c>
      <c r="K65" s="54" t="n">
        <v>1</v>
      </c>
      <c r="L65" s="54" t="n">
        <v>1</v>
      </c>
      <c r="M65" s="54" t="n">
        <v>1</v>
      </c>
      <c r="N65" s="54" t="n">
        <v>1</v>
      </c>
      <c r="O65" s="54" t="n">
        <v>1</v>
      </c>
      <c r="P65" s="54" t="n">
        <v>1</v>
      </c>
      <c r="Q65" s="74">
        <f>IFERROR(IF(COUNT(E65:P65)&lt;1,0,IF(COUNT(E66:P66)&gt;=COUNT(E65:P65),1,(COUNT(E66:P66)/COUNT(E65:P65)))),0)</f>
        <v/>
      </c>
      <c r="R65" s="166" t="n"/>
      <c r="S65" s="57" t="inlineStr">
        <is>
          <t>Área SST</t>
        </is>
      </c>
      <c r="T65" s="58" t="inlineStr">
        <is>
          <t>Registro de indicadores</t>
        </is>
      </c>
      <c r="U65" s="75" t="n"/>
    </row>
    <row r="66" ht="24" customFormat="1" customHeight="1" s="76">
      <c r="A66" s="159" t="n"/>
      <c r="B66" s="154" t="n"/>
      <c r="C66" s="155" t="n"/>
      <c r="D66" s="61" t="inlineStr">
        <is>
          <t>E*</t>
        </is>
      </c>
      <c r="E66" s="54" t="n">
        <v>1</v>
      </c>
      <c r="F66" s="54" t="n">
        <v>1</v>
      </c>
      <c r="G66" s="54" t="n">
        <v>1</v>
      </c>
      <c r="H66" s="54" t="n">
        <v>1</v>
      </c>
      <c r="I66" s="54" t="n">
        <v>1</v>
      </c>
      <c r="J66" s="54" t="n">
        <v>1</v>
      </c>
      <c r="K66" s="54" t="n">
        <v>1</v>
      </c>
      <c r="L66" s="54" t="n">
        <v>1</v>
      </c>
      <c r="M66" s="54" t="n">
        <v>1</v>
      </c>
      <c r="N66" s="54" t="n">
        <v>1</v>
      </c>
      <c r="O66" s="54" t="n"/>
      <c r="P66" s="54" t="n"/>
      <c r="Q66" s="165" t="n"/>
      <c r="R66" s="166" t="n"/>
      <c r="S66" s="165" t="n"/>
      <c r="T66" s="165" t="n"/>
      <c r="U66" s="160" t="n"/>
    </row>
    <row r="67" ht="24" customFormat="1" customHeight="1" s="76">
      <c r="A67" s="159" t="n"/>
      <c r="B67" s="77" t="inlineStr">
        <is>
          <t>Medir la mortalidad de los accidentes de trabajo.</t>
        </is>
      </c>
      <c r="C67" s="149" t="n"/>
      <c r="D67" s="53" t="inlineStr">
        <is>
          <t>P*</t>
        </is>
      </c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>
        <v>1</v>
      </c>
      <c r="Q67" s="74">
        <f>IFERROR(IF(COUNT(E67:P67)&lt;1,0,IF(COUNT(E68:P68)&gt;=COUNT(E67:P67),1,(COUNT(E68:P68)/COUNT(E67:P67)))),0)</f>
        <v/>
      </c>
      <c r="R67" s="166" t="n"/>
      <c r="S67" s="57" t="inlineStr">
        <is>
          <t>Área SST</t>
        </is>
      </c>
      <c r="T67" s="58" t="inlineStr">
        <is>
          <t>Registro de indicadores</t>
        </is>
      </c>
      <c r="U67" s="75" t="n"/>
    </row>
    <row r="68" ht="24" customFormat="1" customHeight="1" s="76">
      <c r="A68" s="159" t="n"/>
      <c r="B68" s="154" t="n"/>
      <c r="C68" s="155" t="n"/>
      <c r="D68" s="61" t="inlineStr">
        <is>
          <t>E*</t>
        </is>
      </c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165" t="n"/>
      <c r="R68" s="166" t="n"/>
      <c r="S68" s="165" t="n"/>
      <c r="T68" s="165" t="n"/>
      <c r="U68" s="160" t="n"/>
    </row>
    <row r="69" ht="24" customFormat="1" customHeight="1" s="76">
      <c r="A69" s="159" t="n"/>
      <c r="B69" s="77" t="inlineStr">
        <is>
          <t>Medir la prevalencia de la enfermedad laboral.</t>
        </is>
      </c>
      <c r="C69" s="149" t="n"/>
      <c r="D69" s="53" t="inlineStr">
        <is>
          <t>P*</t>
        </is>
      </c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>
        <v>1</v>
      </c>
      <c r="Q69" s="74">
        <f>IFERROR(IF(COUNT(E69:P69)&lt;1,0,IF(COUNT(E70:P70)&gt;=COUNT(E69:P69),1,(COUNT(E70:P70)/COUNT(E69:P69)))),0)</f>
        <v/>
      </c>
      <c r="R69" s="166" t="n"/>
      <c r="S69" s="57" t="inlineStr">
        <is>
          <t>Área SST</t>
        </is>
      </c>
      <c r="T69" s="58" t="inlineStr">
        <is>
          <t>Registro de indicadores</t>
        </is>
      </c>
      <c r="U69" s="75" t="n"/>
    </row>
    <row r="70" ht="24" customFormat="1" customHeight="1" s="76">
      <c r="A70" s="159" t="n"/>
      <c r="B70" s="154" t="n"/>
      <c r="C70" s="155" t="n"/>
      <c r="D70" s="61" t="inlineStr">
        <is>
          <t>E*</t>
        </is>
      </c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165" t="n"/>
      <c r="R70" s="166" t="n"/>
      <c r="S70" s="165" t="n"/>
      <c r="T70" s="165" t="n"/>
      <c r="U70" s="160" t="n"/>
    </row>
    <row r="71" ht="24" customFormat="1" customHeight="1" s="76">
      <c r="A71" s="159" t="n"/>
      <c r="B71" s="77" t="inlineStr">
        <is>
          <t>Medir la incidencia de la enfermedad laboral.</t>
        </is>
      </c>
      <c r="C71" s="149" t="n"/>
      <c r="D71" s="53" t="inlineStr">
        <is>
          <t>P*</t>
        </is>
      </c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>
        <v>1</v>
      </c>
      <c r="Q71" s="74">
        <f>IFERROR(IF(COUNT(E71:P71)&lt;1,0,IF(COUNT(E72:P72)&gt;=COUNT(E71:P71),1,(COUNT(E72:P72)/COUNT(E71:P71)))),0)</f>
        <v/>
      </c>
      <c r="R71" s="166" t="n"/>
      <c r="S71" s="57" t="inlineStr">
        <is>
          <t>Área SST</t>
        </is>
      </c>
      <c r="T71" s="58" t="inlineStr">
        <is>
          <t>Registro de indicadores</t>
        </is>
      </c>
      <c r="U71" s="75" t="n"/>
    </row>
    <row r="72" ht="24" customFormat="1" customHeight="1" s="76">
      <c r="A72" s="159" t="n"/>
      <c r="B72" s="154" t="n"/>
      <c r="C72" s="155" t="n"/>
      <c r="D72" s="61" t="inlineStr">
        <is>
          <t>E*</t>
        </is>
      </c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165" t="n"/>
      <c r="R72" s="166" t="n"/>
      <c r="S72" s="165" t="n"/>
      <c r="T72" s="165" t="n"/>
      <c r="U72" s="160" t="n"/>
    </row>
    <row r="73" ht="24" customFormat="1" customHeight="1" s="76">
      <c r="A73" s="159" t="n"/>
      <c r="B73" s="77" t="inlineStr">
        <is>
          <t>Medir el ausentismo de los trabajadores por causas médicas.</t>
        </is>
      </c>
      <c r="C73" s="149" t="n"/>
      <c r="D73" s="53" t="inlineStr">
        <is>
          <t>P*</t>
        </is>
      </c>
      <c r="E73" s="54" t="n">
        <v>1</v>
      </c>
      <c r="F73" s="54" t="n">
        <v>1</v>
      </c>
      <c r="G73" s="54" t="n">
        <v>1</v>
      </c>
      <c r="H73" s="54" t="n">
        <v>1</v>
      </c>
      <c r="I73" s="54" t="n">
        <v>1</v>
      </c>
      <c r="J73" s="54" t="n">
        <v>1</v>
      </c>
      <c r="K73" s="54" t="n">
        <v>1</v>
      </c>
      <c r="L73" s="54" t="n">
        <v>1</v>
      </c>
      <c r="M73" s="54" t="n">
        <v>1</v>
      </c>
      <c r="N73" s="54" t="n">
        <v>1</v>
      </c>
      <c r="O73" s="54" t="n">
        <v>1</v>
      </c>
      <c r="P73" s="54" t="n">
        <v>1</v>
      </c>
      <c r="Q73" s="74">
        <f>IFERROR(IF(COUNT(E73:P73)&lt;1,0,IF(COUNT(E74:P74)&gt;=COUNT(E73:P73),1,(COUNT(E74:P74)/COUNT(E73:P73)))),0)</f>
        <v/>
      </c>
      <c r="R73" s="166" t="n"/>
      <c r="S73" s="57" t="inlineStr">
        <is>
          <t>Área SST</t>
        </is>
      </c>
      <c r="T73" s="58" t="inlineStr">
        <is>
          <t>Registro de indicadores</t>
        </is>
      </c>
      <c r="U73" s="75" t="n"/>
    </row>
    <row r="74" ht="24" customFormat="1" customHeight="1" s="76">
      <c r="A74" s="159" t="n"/>
      <c r="B74" s="154" t="n"/>
      <c r="C74" s="155" t="n"/>
      <c r="D74" s="61" t="inlineStr">
        <is>
          <t>E*</t>
        </is>
      </c>
      <c r="E74" s="54" t="n">
        <v>1</v>
      </c>
      <c r="F74" s="54" t="n">
        <v>1</v>
      </c>
      <c r="G74" s="54" t="n">
        <v>1</v>
      </c>
      <c r="H74" s="54" t="n">
        <v>1</v>
      </c>
      <c r="I74" s="54" t="n">
        <v>1</v>
      </c>
      <c r="J74" s="54" t="n">
        <v>1</v>
      </c>
      <c r="K74" s="54" t="n">
        <v>1</v>
      </c>
      <c r="L74" s="54" t="n">
        <v>1</v>
      </c>
      <c r="M74" s="54" t="n">
        <v>1</v>
      </c>
      <c r="N74" s="54" t="n">
        <v>1</v>
      </c>
      <c r="O74" s="54" t="n"/>
      <c r="P74" s="54" t="n"/>
      <c r="Q74" s="165" t="n"/>
      <c r="R74" s="166" t="n"/>
      <c r="S74" s="165" t="n"/>
      <c r="T74" s="165" t="n"/>
      <c r="U74" s="160" t="n"/>
    </row>
    <row r="75" ht="24" customFormat="1" customHeight="1" s="76">
      <c r="A75" s="159" t="n"/>
      <c r="B75" s="77" t="inlineStr">
        <is>
          <t>Actualizar mínimo 1 vez al año la IPEVR o cuando ocurra un accidente de trabajo mortal o un evento catastrófico</t>
        </is>
      </c>
      <c r="C75" s="149" t="n"/>
      <c r="D75" s="53" t="inlineStr">
        <is>
          <t>P*</t>
        </is>
      </c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>
        <v>1</v>
      </c>
      <c r="Q75" s="74">
        <f>IFERROR(IF(COUNT(E75:P75)&lt;1,0,IF(COUNT(E76:P76)&gt;=COUNT(E75:P75),1,(COUNT(E76:P76)/COUNT(E75:P75)))),0)</f>
        <v/>
      </c>
      <c r="R75" s="166" t="n"/>
      <c r="S75" s="57" t="inlineStr">
        <is>
          <t>Área SST</t>
        </is>
      </c>
      <c r="T75" s="58" t="inlineStr">
        <is>
          <t>Registro de actualización de la IPEVR</t>
        </is>
      </c>
      <c r="U75" s="75" t="inlineStr">
        <is>
          <t>Cuando se requiera</t>
        </is>
      </c>
    </row>
    <row r="76" ht="24" customFormat="1" customHeight="1" s="76">
      <c r="A76" s="159" t="n"/>
      <c r="B76" s="154" t="n"/>
      <c r="C76" s="155" t="n"/>
      <c r="D76" s="61" t="inlineStr">
        <is>
          <t>E*</t>
        </is>
      </c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165" t="n"/>
      <c r="R76" s="166" t="n"/>
      <c r="S76" s="165" t="n"/>
      <c r="T76" s="165" t="n"/>
      <c r="U76" s="160" t="n"/>
    </row>
    <row r="77" ht="24" customFormat="1" customHeight="1" s="76">
      <c r="A77" s="159" t="n"/>
      <c r="B77" s="77" t="inlineStr">
        <is>
          <t>Realizar mediciones ambientales de iluminación y comunicar el resultado de la medición al COPAST/VIGÍA</t>
        </is>
      </c>
      <c r="C77" s="149" t="n"/>
      <c r="D77" s="53" t="inlineStr">
        <is>
          <t>P*</t>
        </is>
      </c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74">
        <f>IFERROR(IF(COUNT(E77:P77)&lt;1,0,IF(COUNT(E78:P78)&gt;=COUNT(E77:P77),1,(COUNT(E78:P78)/COUNT(E77:P77)))),0)</f>
        <v/>
      </c>
      <c r="R77" s="166" t="n"/>
      <c r="S77" s="57" t="inlineStr">
        <is>
          <t>Empleador, área SST y COPASST /VIGÍA</t>
        </is>
      </c>
      <c r="T77" s="58" t="inlineStr">
        <is>
          <t>Informe de las mediciones ambientales con comunicación al COPASST/VIGÍA</t>
        </is>
      </c>
      <c r="U77" s="75" t="inlineStr">
        <is>
          <t>pendiente por conseguir empresa autorizada</t>
        </is>
      </c>
    </row>
    <row r="78" ht="24" customFormat="1" customHeight="1" s="76">
      <c r="A78" s="159" t="n"/>
      <c r="B78" s="154" t="n"/>
      <c r="C78" s="155" t="n"/>
      <c r="D78" s="61" t="inlineStr">
        <is>
          <t>E*</t>
        </is>
      </c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  <c r="O78" s="54" t="n"/>
      <c r="P78" s="54" t="n"/>
      <c r="Q78" s="165" t="n"/>
      <c r="R78" s="166" t="n"/>
      <c r="S78" s="165" t="n"/>
      <c r="T78" s="165" t="n"/>
      <c r="U78" s="160" t="n"/>
    </row>
    <row r="79" ht="24.75" customFormat="1" customHeight="1" s="76">
      <c r="A79" s="159" t="n"/>
      <c r="B79" s="77" t="inlineStr">
        <is>
          <t>Inspección mensual botiquin</t>
        </is>
      </c>
      <c r="C79" s="149" t="n"/>
      <c r="D79" s="53" t="inlineStr">
        <is>
          <t>P*</t>
        </is>
      </c>
      <c r="E79" s="54" t="n">
        <v>1</v>
      </c>
      <c r="F79" s="54" t="n">
        <v>1</v>
      </c>
      <c r="G79" s="54" t="n">
        <v>1</v>
      </c>
      <c r="H79" s="54" t="n">
        <v>1</v>
      </c>
      <c r="I79" s="54" t="n">
        <v>1</v>
      </c>
      <c r="J79" s="54" t="n">
        <v>1</v>
      </c>
      <c r="K79" s="54" t="n">
        <v>1</v>
      </c>
      <c r="L79" s="54" t="n">
        <v>1</v>
      </c>
      <c r="M79" s="54" t="n">
        <v>1</v>
      </c>
      <c r="N79" s="54" t="n">
        <v>1</v>
      </c>
      <c r="O79" s="54" t="n">
        <v>1</v>
      </c>
      <c r="P79" s="54" t="n">
        <v>1</v>
      </c>
      <c r="Q79" s="74">
        <f>IFERROR(IF(COUNT(E79:P79)&lt;1,0,IF(COUNT(E80:P80)&gt;=COUNT(E79:P79),1,(COUNT(E80:P80)/COUNT(E79:P79)))),0)</f>
        <v/>
      </c>
      <c r="R79" s="166" t="n"/>
      <c r="S79" s="57" t="inlineStr">
        <is>
          <t>COPAST/VIGÍA, brigada de emergencias, área SST</t>
        </is>
      </c>
      <c r="T79" s="58" t="inlineStr">
        <is>
          <t>Registro inspección realizada</t>
        </is>
      </c>
      <c r="U79" s="77" t="n"/>
    </row>
    <row r="80" ht="27.75" customFormat="1" customHeight="1" s="76">
      <c r="A80" s="159" t="n"/>
      <c r="B80" s="154" t="n"/>
      <c r="C80" s="155" t="n"/>
      <c r="D80" s="61" t="inlineStr">
        <is>
          <t>E*</t>
        </is>
      </c>
      <c r="E80" s="54" t="n">
        <v>1</v>
      </c>
      <c r="F80" s="54" t="n">
        <v>1</v>
      </c>
      <c r="G80" s="54" t="n">
        <v>1</v>
      </c>
      <c r="H80" s="54" t="n">
        <v>1</v>
      </c>
      <c r="I80" s="54" t="n">
        <v>1</v>
      </c>
      <c r="J80" s="54" t="n">
        <v>1</v>
      </c>
      <c r="K80" s="54" t="n">
        <v>1</v>
      </c>
      <c r="L80" s="54" t="n">
        <v>1</v>
      </c>
      <c r="M80" s="54" t="n">
        <v>1</v>
      </c>
      <c r="N80" s="54" t="n">
        <v>1</v>
      </c>
      <c r="O80" s="54" t="n"/>
      <c r="P80" s="54" t="n"/>
      <c r="Q80" s="165" t="n"/>
      <c r="R80" s="166" t="n"/>
      <c r="S80" s="165" t="n"/>
      <c r="T80" s="165" t="n"/>
      <c r="U80" s="160" t="n"/>
    </row>
    <row r="81" ht="28.5" customFormat="1" customHeight="1" s="76">
      <c r="A81" s="159" t="n"/>
      <c r="B81" s="77" t="inlineStr">
        <is>
          <t>Inspección mensual extintores</t>
        </is>
      </c>
      <c r="C81" s="149" t="n"/>
      <c r="D81" s="53" t="inlineStr">
        <is>
          <t>P*</t>
        </is>
      </c>
      <c r="E81" s="54" t="n">
        <v>1</v>
      </c>
      <c r="F81" s="54" t="n">
        <v>1</v>
      </c>
      <c r="G81" s="54" t="n">
        <v>1</v>
      </c>
      <c r="H81" s="54" t="n">
        <v>1</v>
      </c>
      <c r="I81" s="54" t="n">
        <v>1</v>
      </c>
      <c r="J81" s="54" t="n">
        <v>1</v>
      </c>
      <c r="K81" s="54" t="n">
        <v>1</v>
      </c>
      <c r="L81" s="54" t="n">
        <v>1</v>
      </c>
      <c r="M81" s="54" t="n">
        <v>1</v>
      </c>
      <c r="N81" s="54" t="n">
        <v>1</v>
      </c>
      <c r="O81" s="54" t="n">
        <v>1</v>
      </c>
      <c r="P81" s="54" t="n">
        <v>1</v>
      </c>
      <c r="Q81" s="74">
        <f>IFERROR(IF(COUNT(E81:P81)&lt;1,0,IF(COUNT(E82:P82)&gt;=COUNT(E81:P81),1,(COUNT(E82:P82)/COUNT(E81:P81)))),0)</f>
        <v/>
      </c>
      <c r="R81" s="166" t="n"/>
      <c r="S81" s="57" t="inlineStr">
        <is>
          <t>COPAST/VIGÍA, brigada de emergencias, área SST</t>
        </is>
      </c>
      <c r="T81" s="58" t="inlineStr">
        <is>
          <t>Registro inspección realizada</t>
        </is>
      </c>
      <c r="U81" s="77" t="n"/>
    </row>
    <row r="82" ht="27" customFormat="1" customHeight="1" s="76">
      <c r="A82" s="159" t="n"/>
      <c r="B82" s="154" t="n"/>
      <c r="C82" s="155" t="n"/>
      <c r="D82" s="61" t="inlineStr">
        <is>
          <t>E*</t>
        </is>
      </c>
      <c r="E82" s="54" t="n">
        <v>1</v>
      </c>
      <c r="F82" s="54" t="n">
        <v>1</v>
      </c>
      <c r="G82" s="54" t="n">
        <v>1</v>
      </c>
      <c r="H82" s="54" t="n">
        <v>1</v>
      </c>
      <c r="I82" s="54" t="n">
        <v>1</v>
      </c>
      <c r="J82" s="54" t="n">
        <v>1</v>
      </c>
      <c r="K82" s="54" t="n">
        <v>1</v>
      </c>
      <c r="L82" s="54" t="n">
        <v>1</v>
      </c>
      <c r="M82" s="54" t="n">
        <v>1</v>
      </c>
      <c r="N82" s="54" t="n">
        <v>1</v>
      </c>
      <c r="O82" s="54" t="n"/>
      <c r="P82" s="54" t="n"/>
      <c r="Q82" s="165" t="n"/>
      <c r="R82" s="166" t="n"/>
      <c r="S82" s="165" t="n"/>
      <c r="T82" s="165" t="n"/>
      <c r="U82" s="160" t="n"/>
    </row>
    <row r="83" ht="30.75" customFormat="1" customHeight="1" s="76">
      <c r="A83" s="159" t="n"/>
      <c r="B83" s="77" t="inlineStr">
        <is>
          <t>Inspección mensual camilla de emergencias</t>
        </is>
      </c>
      <c r="C83" s="149" t="n"/>
      <c r="D83" s="53" t="inlineStr">
        <is>
          <t>P*</t>
        </is>
      </c>
      <c r="E83" s="54" t="n">
        <v>1</v>
      </c>
      <c r="F83" s="54" t="n">
        <v>1</v>
      </c>
      <c r="G83" s="54" t="n">
        <v>1</v>
      </c>
      <c r="H83" s="54" t="n">
        <v>1</v>
      </c>
      <c r="I83" s="54" t="n">
        <v>1</v>
      </c>
      <c r="J83" s="54" t="n">
        <v>1</v>
      </c>
      <c r="K83" s="54" t="n">
        <v>1</v>
      </c>
      <c r="L83" s="54" t="n">
        <v>1</v>
      </c>
      <c r="M83" s="54" t="n">
        <v>1</v>
      </c>
      <c r="N83" s="54" t="n">
        <v>1</v>
      </c>
      <c r="O83" s="54" t="n">
        <v>1</v>
      </c>
      <c r="P83" s="54" t="n">
        <v>1</v>
      </c>
      <c r="Q83" s="74">
        <f>IFERROR(IF(COUNT(E83:P83)&lt;1,0,IF(COUNT(E84:P84)&gt;=COUNT(E83:P83),1,(COUNT(E84:P84)/COUNT(E83:P83)))),0)</f>
        <v/>
      </c>
      <c r="R83" s="166" t="n"/>
      <c r="S83" s="57" t="inlineStr">
        <is>
          <t>COPAST/VIGÍA, brigada de emergencias, área SST</t>
        </is>
      </c>
      <c r="T83" s="58" t="inlineStr">
        <is>
          <t>Registro inspección realizada</t>
        </is>
      </c>
      <c r="U83" s="77" t="n"/>
    </row>
    <row r="84" ht="25.5" customFormat="1" customHeight="1" s="76">
      <c r="A84" s="159" t="n"/>
      <c r="B84" s="154" t="n"/>
      <c r="C84" s="155" t="n"/>
      <c r="D84" s="61" t="inlineStr">
        <is>
          <t>E*</t>
        </is>
      </c>
      <c r="E84" s="54" t="n">
        <v>1</v>
      </c>
      <c r="F84" s="54" t="n">
        <v>1</v>
      </c>
      <c r="G84" s="54" t="n">
        <v>1</v>
      </c>
      <c r="H84" s="54" t="n">
        <v>1</v>
      </c>
      <c r="I84" s="54" t="n">
        <v>1</v>
      </c>
      <c r="J84" s="54" t="n">
        <v>1</v>
      </c>
      <c r="K84" s="54" t="n">
        <v>1</v>
      </c>
      <c r="L84" s="54" t="n">
        <v>1</v>
      </c>
      <c r="M84" s="54" t="n">
        <v>1</v>
      </c>
      <c r="N84" s="54" t="n">
        <v>1</v>
      </c>
      <c r="O84" s="54" t="n"/>
      <c r="P84" s="54" t="n"/>
      <c r="Q84" s="165" t="n"/>
      <c r="R84" s="166" t="n"/>
      <c r="S84" s="165" t="n"/>
      <c r="T84" s="165" t="n"/>
      <c r="U84" s="160" t="n"/>
    </row>
    <row r="85" ht="30" customFormat="1" customHeight="1" s="76">
      <c r="A85" s="159" t="n"/>
      <c r="B85" s="77" t="inlineStr">
        <is>
          <t>Inspección mensual instalaciones, orden y aseo</t>
        </is>
      </c>
      <c r="C85" s="149" t="n"/>
      <c r="D85" s="53" t="inlineStr">
        <is>
          <t>P*</t>
        </is>
      </c>
      <c r="E85" s="54" t="n">
        <v>1</v>
      </c>
      <c r="F85" s="54" t="n">
        <v>1</v>
      </c>
      <c r="G85" s="54" t="n">
        <v>1</v>
      </c>
      <c r="H85" s="54" t="n">
        <v>1</v>
      </c>
      <c r="I85" s="54" t="n">
        <v>1</v>
      </c>
      <c r="J85" s="54" t="n">
        <v>1</v>
      </c>
      <c r="K85" s="54" t="n">
        <v>1</v>
      </c>
      <c r="L85" s="54" t="n">
        <v>1</v>
      </c>
      <c r="M85" s="54" t="n">
        <v>1</v>
      </c>
      <c r="N85" s="54" t="n">
        <v>1</v>
      </c>
      <c r="O85" s="54" t="n">
        <v>1</v>
      </c>
      <c r="P85" s="54" t="n">
        <v>1</v>
      </c>
      <c r="Q85" s="74">
        <f>IFERROR(IF(COUNT(E85:P85)&lt;1,0,IF(COUNT(E86:P86)&gt;=COUNT(E85:P85),1,(COUNT(E86:P86)/COUNT(E85:P85)))),0)</f>
        <v/>
      </c>
      <c r="R85" s="166" t="n"/>
      <c r="S85" s="57" t="inlineStr">
        <is>
          <t>COPAST/VIGÍA, brigada de emergencias, área SST</t>
        </is>
      </c>
      <c r="T85" s="58" t="inlineStr">
        <is>
          <t>Registro inspección realizada</t>
        </is>
      </c>
      <c r="U85" s="77" t="n"/>
    </row>
    <row r="86" ht="28.5" customFormat="1" customHeight="1" s="76">
      <c r="A86" s="159" t="n"/>
      <c r="B86" s="154" t="n"/>
      <c r="C86" s="155" t="n"/>
      <c r="D86" s="61" t="inlineStr">
        <is>
          <t>E*</t>
        </is>
      </c>
      <c r="E86" s="54" t="n">
        <v>1</v>
      </c>
      <c r="F86" s="54" t="n">
        <v>1</v>
      </c>
      <c r="G86" s="54" t="n">
        <v>1</v>
      </c>
      <c r="H86" s="54" t="n">
        <v>1</v>
      </c>
      <c r="I86" s="54" t="n">
        <v>1</v>
      </c>
      <c r="J86" s="54" t="n">
        <v>1</v>
      </c>
      <c r="K86" s="54" t="n">
        <v>1</v>
      </c>
      <c r="L86" s="54" t="n">
        <v>1</v>
      </c>
      <c r="M86" s="54" t="n">
        <v>1</v>
      </c>
      <c r="N86" s="54" t="n">
        <v>1</v>
      </c>
      <c r="O86" s="54" t="n"/>
      <c r="P86" s="54" t="n"/>
      <c r="Q86" s="165" t="n"/>
      <c r="R86" s="166" t="n"/>
      <c r="S86" s="165" t="n"/>
      <c r="T86" s="165" t="n"/>
      <c r="U86" s="160" t="n"/>
    </row>
    <row r="87" ht="31.5" customFormat="1" customHeight="1" s="76">
      <c r="A87" s="159" t="n"/>
      <c r="B87" s="77" t="inlineStr">
        <is>
          <t>Inspección EPP mensual</t>
        </is>
      </c>
      <c r="C87" s="149" t="n"/>
      <c r="D87" s="53" t="inlineStr">
        <is>
          <t>P*</t>
        </is>
      </c>
      <c r="E87" s="54" t="n">
        <v>1</v>
      </c>
      <c r="F87" s="54" t="n">
        <v>1</v>
      </c>
      <c r="G87" s="54" t="n">
        <v>1</v>
      </c>
      <c r="H87" s="54" t="n">
        <v>1</v>
      </c>
      <c r="I87" s="54" t="n">
        <v>1</v>
      </c>
      <c r="J87" s="54" t="n">
        <v>1</v>
      </c>
      <c r="K87" s="54" t="n">
        <v>1</v>
      </c>
      <c r="L87" s="54" t="n">
        <v>1</v>
      </c>
      <c r="M87" s="54" t="n">
        <v>1</v>
      </c>
      <c r="N87" s="54" t="n">
        <v>1</v>
      </c>
      <c r="O87" s="54" t="n">
        <v>1</v>
      </c>
      <c r="P87" s="54" t="n">
        <v>1</v>
      </c>
      <c r="Q87" s="74">
        <f>IFERROR(IF(COUNT(E87:P87)&lt;1,0,IF(COUNT(E88:P88)&gt;=COUNT(E87:P87),1,(COUNT(E88:P88)/COUNT(E87:P87)))),0)</f>
        <v/>
      </c>
      <c r="R87" s="166" t="n"/>
      <c r="S87" s="57" t="inlineStr">
        <is>
          <t>COPAST/VIGÍA, brigada de emergencias, área SST</t>
        </is>
      </c>
      <c r="T87" s="58" t="inlineStr">
        <is>
          <t>Registro inspección realizada</t>
        </is>
      </c>
      <c r="U87" s="77" t="n"/>
    </row>
    <row r="88" ht="27" customFormat="1" customHeight="1" s="76">
      <c r="A88" s="159" t="n"/>
      <c r="B88" s="154" t="n"/>
      <c r="C88" s="155" t="n"/>
      <c r="D88" s="61" t="inlineStr">
        <is>
          <t>E*</t>
        </is>
      </c>
      <c r="E88" s="54" t="n">
        <v>1</v>
      </c>
      <c r="F88" s="54" t="n">
        <v>1</v>
      </c>
      <c r="G88" s="54" t="n">
        <v>1</v>
      </c>
      <c r="H88" s="54" t="n">
        <v>1</v>
      </c>
      <c r="I88" s="54" t="n">
        <v>1</v>
      </c>
      <c r="J88" s="54" t="n">
        <v>1</v>
      </c>
      <c r="K88" s="54" t="n">
        <v>1</v>
      </c>
      <c r="L88" s="54" t="n">
        <v>1</v>
      </c>
      <c r="M88" s="54" t="n">
        <v>1</v>
      </c>
      <c r="N88" s="54" t="n">
        <v>1</v>
      </c>
      <c r="O88" s="54" t="n"/>
      <c r="P88" s="54" t="n"/>
      <c r="Q88" s="165" t="n"/>
      <c r="R88" s="166" t="n"/>
      <c r="S88" s="165" t="n"/>
      <c r="T88" s="165" t="n"/>
      <c r="U88" s="160" t="n"/>
    </row>
    <row r="89" ht="37.5" customFormat="1" customHeight="1" s="76">
      <c r="A89" s="159" t="n"/>
      <c r="B89" s="77" t="inlineStr">
        <is>
          <t>Inspección preoperacional herramientas, máquinas y equipos</t>
        </is>
      </c>
      <c r="C89" s="149" t="n"/>
      <c r="D89" s="53" t="inlineStr">
        <is>
          <t>P*</t>
        </is>
      </c>
      <c r="E89" s="54" t="n">
        <v>1</v>
      </c>
      <c r="F89" s="54" t="n">
        <v>1</v>
      </c>
      <c r="G89" s="54" t="n">
        <v>1</v>
      </c>
      <c r="H89" s="54" t="n">
        <v>1</v>
      </c>
      <c r="I89" s="54" t="n">
        <v>1</v>
      </c>
      <c r="J89" s="54" t="n">
        <v>1</v>
      </c>
      <c r="K89" s="54" t="n">
        <v>1</v>
      </c>
      <c r="L89" s="54" t="n">
        <v>1</v>
      </c>
      <c r="M89" s="54" t="n">
        <v>1</v>
      </c>
      <c r="N89" s="54" t="n">
        <v>1</v>
      </c>
      <c r="O89" s="54" t="n">
        <v>1</v>
      </c>
      <c r="P89" s="54" t="n">
        <v>1</v>
      </c>
      <c r="Q89" s="74">
        <f>IFERROR(IF(COUNT(E89:P89)&lt;1,0,IF(COUNT(E90:P90)&gt;=COUNT(E89:P89),1,(COUNT(E90:P90)/COUNT(E89:P89)))),0)</f>
        <v/>
      </c>
      <c r="R89" s="166" t="n"/>
      <c r="S89" s="57" t="inlineStr">
        <is>
          <t>Trabajadores que las utilicen</t>
        </is>
      </c>
      <c r="T89" s="58" t="inlineStr">
        <is>
          <t>Registro inspección realizada</t>
        </is>
      </c>
      <c r="U89" s="77" t="n"/>
    </row>
    <row r="90" ht="37.5" customFormat="1" customHeight="1" s="76">
      <c r="A90" s="159" t="n"/>
      <c r="B90" s="154" t="n"/>
      <c r="C90" s="155" t="n"/>
      <c r="D90" s="61" t="inlineStr">
        <is>
          <t>E*</t>
        </is>
      </c>
      <c r="E90" s="54" t="n">
        <v>1</v>
      </c>
      <c r="F90" s="54" t="n">
        <v>1</v>
      </c>
      <c r="G90" s="54" t="n">
        <v>1</v>
      </c>
      <c r="H90" s="54" t="n">
        <v>1</v>
      </c>
      <c r="I90" s="54" t="n">
        <v>1</v>
      </c>
      <c r="J90" s="54" t="n">
        <v>1</v>
      </c>
      <c r="K90" s="54" t="n">
        <v>1</v>
      </c>
      <c r="L90" s="54" t="n">
        <v>1</v>
      </c>
      <c r="M90" s="54" t="n">
        <v>1</v>
      </c>
      <c r="N90" s="54" t="n">
        <v>1</v>
      </c>
      <c r="O90" s="54" t="n"/>
      <c r="P90" s="54" t="n"/>
      <c r="Q90" s="165" t="n"/>
      <c r="R90" s="166" t="n"/>
      <c r="S90" s="165" t="n"/>
      <c r="T90" s="165" t="n"/>
      <c r="U90" s="160" t="n"/>
    </row>
    <row r="91" ht="28.5" customFormat="1" customHeight="1" s="76">
      <c r="A91" s="159" t="n"/>
      <c r="B91" s="77" t="inlineStr">
        <is>
          <t>Realizar la entrega de los EPP a todos los trabajadores que aplique y capacitarlos en su uso adecuado</t>
        </is>
      </c>
      <c r="C91" s="149" t="n"/>
      <c r="D91" s="53" t="inlineStr">
        <is>
          <t>P*</t>
        </is>
      </c>
      <c r="E91" s="54" t="n">
        <v>1</v>
      </c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  <c r="Q91" s="74">
        <f>IFERROR(IF(COUNT(E91:P91)&lt;1,0,IF(COUNT(E92:P92)&gt;=COUNT(E91:P91),1,(COUNT(E92:P92)/COUNT(E91:P91)))),0)</f>
        <v/>
      </c>
      <c r="R91" s="166" t="n"/>
      <c r="S91" s="57" t="inlineStr">
        <is>
          <t>Empleador y área SST</t>
        </is>
      </c>
      <c r="T91" s="58" t="inlineStr">
        <is>
          <t>Registro de entrega de los EPP asignados y registro de asistencia a la capacitación</t>
        </is>
      </c>
      <c r="U91" s="77" t="inlineStr">
        <is>
          <t>Cuando se requiera</t>
        </is>
      </c>
    </row>
    <row r="92" ht="27" customFormat="1" customHeight="1" s="76">
      <c r="A92" s="159" t="n"/>
      <c r="B92" s="154" t="n"/>
      <c r="C92" s="155" t="n"/>
      <c r="D92" s="61" t="inlineStr">
        <is>
          <t>E*</t>
        </is>
      </c>
      <c r="E92" s="54" t="n">
        <v>1</v>
      </c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  <c r="Q92" s="165" t="n"/>
      <c r="R92" s="166" t="n"/>
      <c r="S92" s="165" t="n"/>
      <c r="T92" s="165" t="n"/>
      <c r="U92" s="160" t="n"/>
    </row>
    <row r="93" ht="27.75" customFormat="1" customHeight="1" s="76">
      <c r="A93" s="159" t="n"/>
      <c r="B93" s="77" t="inlineStr">
        <is>
          <t>Revisión del plan de prevención, preparación y respuesta ante emergencias, constatando la existencia de los requisitos establecidos en el artículo 2.2.4.6.25 del Decreto 1072/2015</t>
        </is>
      </c>
      <c r="C93" s="149" t="n"/>
      <c r="D93" s="53" t="inlineStr">
        <is>
          <t>P*</t>
        </is>
      </c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>
        <v>1</v>
      </c>
      <c r="Q93" s="74">
        <f>IFERROR(IF(COUNT(E93:P93)&lt;1,0,IF(COUNT(E94:P94)&gt;=COUNT(E93:P93),1,(COUNT(E94:P94)/COUNT(E93:P93)))),0)</f>
        <v/>
      </c>
      <c r="R93" s="166" t="n"/>
      <c r="S93" s="57" t="inlineStr">
        <is>
          <t>Área SST y brigadas de emergencias</t>
        </is>
      </c>
      <c r="T93" s="58" t="inlineStr">
        <is>
          <t>Registro de la revisión</t>
        </is>
      </c>
      <c r="U93" s="77" t="n"/>
    </row>
    <row r="94" ht="23.25" customFormat="1" customHeight="1" s="76">
      <c r="A94" s="159" t="n"/>
      <c r="B94" s="154" t="n"/>
      <c r="C94" s="155" t="n"/>
      <c r="D94" s="61" t="inlineStr">
        <is>
          <t>E*</t>
        </is>
      </c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  <c r="Q94" s="165" t="n"/>
      <c r="R94" s="166" t="n"/>
      <c r="S94" s="165" t="n"/>
      <c r="T94" s="165" t="n"/>
      <c r="U94" s="160" t="n"/>
    </row>
    <row r="95" ht="37.5" customFormat="1" customHeight="1" s="76">
      <c r="A95" s="159" t="n"/>
      <c r="B95" s="77" t="inlineStr">
        <is>
          <t>Capacitar a la brigada de emergencias de forma anual como mínimo en primeros auxilios, prevención y control de incendios, evacuación y rescate</t>
        </is>
      </c>
      <c r="C95" s="149" t="n"/>
      <c r="D95" s="53" t="inlineStr">
        <is>
          <t>P*</t>
        </is>
      </c>
      <c r="E95" s="54" t="n"/>
      <c r="F95" s="54" t="n">
        <v>1</v>
      </c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  <c r="Q95" s="74">
        <f>IFERROR(IF(COUNT(E95:P95)&lt;1,0,IF(COUNT(E96:P96)&gt;=COUNT(E95:P95),1,(COUNT(E96:P96)/COUNT(E95:P95)))),0)</f>
        <v/>
      </c>
      <c r="R95" s="166" t="n"/>
      <c r="S95" s="57" t="inlineStr">
        <is>
          <t xml:space="preserve">Empleador </t>
        </is>
      </c>
      <c r="T95" s="58" t="inlineStr">
        <is>
          <t>Registro de las capacitaciones realizadas a la brigada por parte de una entidad competente</t>
        </is>
      </c>
      <c r="U95" s="77" t="n"/>
    </row>
    <row r="96" ht="37.5" customFormat="1" customHeight="1" s="76">
      <c r="A96" s="159" t="n"/>
      <c r="B96" s="154" t="n"/>
      <c r="C96" s="155" t="n"/>
      <c r="D96" s="61" t="inlineStr">
        <is>
          <t>E*</t>
        </is>
      </c>
      <c r="E96" s="54" t="n"/>
      <c r="F96" s="54" t="n">
        <v>1</v>
      </c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165" t="n"/>
      <c r="R96" s="166" t="n"/>
      <c r="S96" s="165" t="n"/>
      <c r="T96" s="165" t="n"/>
      <c r="U96" s="160" t="n"/>
    </row>
    <row r="97" ht="37.5" customFormat="1" customHeight="1" s="76">
      <c r="A97" s="159" t="n"/>
      <c r="B97" s="77" t="inlineStr">
        <is>
          <t>Dotar a la brigada de emergencias para que pueda cumplir satisfactoriamente sus funciones</t>
        </is>
      </c>
      <c r="C97" s="149" t="n"/>
      <c r="D97" s="53" t="inlineStr">
        <is>
          <t>P*</t>
        </is>
      </c>
      <c r="E97" s="54" t="n"/>
      <c r="F97" s="54" t="n">
        <v>1</v>
      </c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  <c r="Q97" s="74">
        <f>IFERROR(IF(COUNT(E97:P97)&lt;1,0,IF(COUNT(E98:P98)&gt;=COUNT(E97:P97),1,(COUNT(E98:P98)/COUNT(E97:P97)))),0)</f>
        <v/>
      </c>
      <c r="R97" s="166" t="n"/>
      <c r="S97" s="57" t="inlineStr">
        <is>
          <t xml:space="preserve">Empleador </t>
        </is>
      </c>
      <c r="T97" s="58" t="inlineStr">
        <is>
          <t>Registro fogográfico de los recursos asignados</t>
        </is>
      </c>
      <c r="U97" s="77" t="n"/>
    </row>
    <row r="98" ht="37.5" customFormat="1" customHeight="1" s="76">
      <c r="A98" s="159" t="n"/>
      <c r="B98" s="154" t="n"/>
      <c r="C98" s="155" t="n"/>
      <c r="D98" s="61" t="inlineStr">
        <is>
          <t>E*</t>
        </is>
      </c>
      <c r="E98" s="54" t="n"/>
      <c r="F98" s="54" t="n">
        <v>1</v>
      </c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165" t="n"/>
      <c r="R98" s="166" t="n"/>
      <c r="S98" s="165" t="n"/>
      <c r="T98" s="165" t="n"/>
      <c r="U98" s="160" t="n"/>
    </row>
    <row r="99" ht="37.5" customFormat="1" customHeight="1" s="76">
      <c r="A99" s="159" t="n"/>
      <c r="B99" s="77" t="inlineStr">
        <is>
          <t>Realizar mínimo 1 simulacro al año</t>
        </is>
      </c>
      <c r="C99" s="149" t="n"/>
      <c r="D99" s="53" t="inlineStr">
        <is>
          <t>P*</t>
        </is>
      </c>
      <c r="E99" s="54" t="n"/>
      <c r="F99" s="54" t="n"/>
      <c r="G99" s="54" t="n"/>
      <c r="H99" s="54" t="n"/>
      <c r="I99" s="54" t="n">
        <v>1</v>
      </c>
      <c r="J99" s="54" t="n"/>
      <c r="K99" s="54" t="n"/>
      <c r="L99" s="54" t="n"/>
      <c r="M99" s="54" t="n"/>
      <c r="N99" s="54" t="n"/>
      <c r="O99" s="54" t="n"/>
      <c r="P99" s="54" t="n"/>
      <c r="Q99" s="74">
        <f>IFERROR(IF(COUNT(E99:P99)&lt;1,0,IF(COUNT(E100:P100)&gt;=COUNT(E99:P99),1,(COUNT(E100:P100)/COUNT(E99:P99)))),0)</f>
        <v/>
      </c>
      <c r="R99" s="166" t="n"/>
      <c r="S99" s="57" t="inlineStr">
        <is>
          <t>Empleador, área SST, brigadas de emergenciias</t>
        </is>
      </c>
      <c r="T99" s="58" t="inlineStr">
        <is>
          <t>Informe de simulacro</t>
        </is>
      </c>
      <c r="U99" s="77" t="n"/>
    </row>
    <row r="100" ht="37.5" customFormat="1" customHeight="1" s="76">
      <c r="A100" s="160" t="n"/>
      <c r="B100" s="154" t="n"/>
      <c r="C100" s="155" t="n"/>
      <c r="D100" s="61" t="inlineStr">
        <is>
          <t>E*</t>
        </is>
      </c>
      <c r="E100" s="54" t="n"/>
      <c r="F100" s="54" t="n"/>
      <c r="G100" s="54" t="n"/>
      <c r="H100" s="54" t="n"/>
      <c r="I100" s="54" t="n">
        <v>1</v>
      </c>
      <c r="J100" s="54" t="n"/>
      <c r="K100" s="54" t="n"/>
      <c r="L100" s="54" t="n"/>
      <c r="M100" s="54" t="n"/>
      <c r="N100" s="54" t="n"/>
      <c r="O100" s="54" t="n"/>
      <c r="P100" s="54" t="n"/>
      <c r="Q100" s="165" t="n"/>
      <c r="R100" s="165" t="n"/>
      <c r="S100" s="165" t="n"/>
      <c r="T100" s="165" t="n"/>
      <c r="U100" s="160" t="n"/>
    </row>
    <row r="101" ht="24" customFormat="1" customHeight="1" s="76">
      <c r="A101" s="85" t="inlineStr">
        <is>
          <t>VERIFICAR</t>
        </is>
      </c>
      <c r="B101" s="77" t="inlineStr">
        <is>
          <t>Realizar mínimo una auditoría del SG-SST al año, con la planificación del COPASST/VIGÍA</t>
        </is>
      </c>
      <c r="C101" s="149" t="n"/>
      <c r="D101" s="53" t="inlineStr">
        <is>
          <t>P*</t>
        </is>
      </c>
      <c r="E101" s="54" t="n"/>
      <c r="F101" s="54" t="n"/>
      <c r="G101" s="54" t="n"/>
      <c r="H101" s="54" t="n">
        <v>1</v>
      </c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74">
        <f>IFERROR(IF(COUNT(E101:P101)&lt;1,0,IF(COUNT(E102:P102)&gt;=COUNT(E101:P101),1,(COUNT(E102:P102)/COUNT(E101:P101)))),0)</f>
        <v/>
      </c>
      <c r="R101" s="56">
        <f>AVERAGE(Q101:Q104)</f>
        <v/>
      </c>
      <c r="S101" s="57" t="inlineStr">
        <is>
          <t>Empleador, área SST y COPASST/VIGÍA</t>
        </is>
      </c>
      <c r="T101" s="58" t="inlineStr">
        <is>
          <t>Registro de la planificación de la auditoría e informe.</t>
        </is>
      </c>
      <c r="U101" s="75" t="n"/>
    </row>
    <row r="102" ht="24" customFormat="1" customHeight="1" s="76">
      <c r="A102" s="159" t="n"/>
      <c r="B102" s="154" t="n"/>
      <c r="C102" s="155" t="n"/>
      <c r="D102" s="61" t="inlineStr">
        <is>
          <t>E*</t>
        </is>
      </c>
      <c r="E102" s="54" t="n"/>
      <c r="F102" s="54" t="n"/>
      <c r="G102" s="54" t="n"/>
      <c r="H102" s="54" t="n">
        <v>1</v>
      </c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165" t="n"/>
      <c r="R102" s="166" t="n"/>
      <c r="S102" s="165" t="n"/>
      <c r="T102" s="165" t="n"/>
      <c r="U102" s="160" t="n"/>
    </row>
    <row r="103" ht="46.5" customFormat="1" customHeight="1" s="76">
      <c r="A103" s="159" t="n"/>
      <c r="B103" s="77" t="inlineStr">
        <is>
          <t>Revisar el SG-SST por parte de la alta dirección, comunicando los resultados al responsable del SG-SST  y al COPASST/VIGÍA</t>
        </is>
      </c>
      <c r="C103" s="149" t="n"/>
      <c r="D103" s="53" t="inlineStr">
        <is>
          <t>P*</t>
        </is>
      </c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>
        <v>1</v>
      </c>
      <c r="Q103" s="74">
        <f>IFERROR(IF(COUNT(E103:P103)&lt;1,0,IF(COUNT(E104:P104)&gt;=COUNT(E103:P103),1,(COUNT(E104:P104)/COUNT(E103:P103)))),0)</f>
        <v/>
      </c>
      <c r="R103" s="166" t="n"/>
      <c r="S103" s="57" t="inlineStr">
        <is>
          <t>Empleador, área SST y COPASST/VIGÍA</t>
        </is>
      </c>
      <c r="T103" s="58" t="inlineStr">
        <is>
          <t>Registro de la revisión por parte de la alta dirección.con la comunicación de los resultados al responsable del SG-SSt y COPASST/VIGÍA</t>
        </is>
      </c>
      <c r="U103" s="75" t="n"/>
    </row>
    <row r="104" ht="42.75" customFormat="1" customHeight="1" s="76">
      <c r="A104" s="160" t="n"/>
      <c r="B104" s="154" t="n"/>
      <c r="C104" s="155" t="n"/>
      <c r="D104" s="61" t="inlineStr">
        <is>
          <t>E*</t>
        </is>
      </c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165" t="n"/>
      <c r="R104" s="165" t="n"/>
      <c r="S104" s="165" t="n"/>
      <c r="T104" s="165" t="n"/>
      <c r="U104" s="160" t="n"/>
    </row>
    <row r="105" ht="32.25" customFormat="1" customHeight="1" s="76">
      <c r="A105" s="86" t="inlineStr">
        <is>
          <t>ACTUAR</t>
        </is>
      </c>
      <c r="B105" s="77" t="inlineStr">
        <is>
          <t>Definir e implementar las acciones preventivas y/o correctivas necesarias con base a los resultados de la supervisión, inspecciones, medición de los indicadores, entre otros y las recomendaciones del COPASST.</t>
        </is>
      </c>
      <c r="C105" s="149" t="n"/>
      <c r="D105" s="53" t="inlineStr">
        <is>
          <t>P*</t>
        </is>
      </c>
      <c r="E105" s="54" t="n"/>
      <c r="F105" s="54" t="n"/>
      <c r="G105" s="54" t="n"/>
      <c r="H105" s="54" t="n"/>
      <c r="I105" s="54" t="n">
        <v>1</v>
      </c>
      <c r="J105" s="54" t="n"/>
      <c r="K105" s="54" t="n"/>
      <c r="L105" s="54" t="n"/>
      <c r="M105" s="54" t="n"/>
      <c r="N105" s="54" t="n"/>
      <c r="O105" s="54" t="n"/>
      <c r="P105" s="54" t="n"/>
      <c r="Q105" s="74">
        <f>IFERROR(IF(COUNT(E105:P105)&lt;1,0,IF(COUNT(E106:P106)&gt;=COUNT(E105:P105),1,(COUNT(E106:P106)/COUNT(E105:P105)))),0)</f>
        <v/>
      </c>
      <c r="R105" s="56">
        <f>AVERAGE(Q105:Q110)</f>
        <v/>
      </c>
      <c r="S105" s="57" t="inlineStr">
        <is>
          <t>Empleador, área SST y COPASST/VIGÍA</t>
        </is>
      </c>
      <c r="T105" s="58" t="inlineStr">
        <is>
          <t>Registro de las acciones preventivas y/o correctivas.</t>
        </is>
      </c>
      <c r="U105" s="75" t="inlineStr">
        <is>
          <t>Cuando aplique</t>
        </is>
      </c>
    </row>
    <row r="106" ht="31.5" customFormat="1" customHeight="1" s="76">
      <c r="A106" s="159" t="n"/>
      <c r="B106" s="154" t="n"/>
      <c r="C106" s="155" t="n"/>
      <c r="D106" s="61" t="inlineStr">
        <is>
          <t>E*</t>
        </is>
      </c>
      <c r="E106" s="54" t="n"/>
      <c r="F106" s="54" t="n"/>
      <c r="G106" s="54" t="n"/>
      <c r="H106" s="54" t="n"/>
      <c r="I106" s="54" t="n">
        <v>1</v>
      </c>
      <c r="J106" s="54" t="n"/>
      <c r="K106" s="54" t="n"/>
      <c r="L106" s="54" t="n"/>
      <c r="M106" s="54" t="n"/>
      <c r="N106" s="54" t="n"/>
      <c r="O106" s="54" t="n"/>
      <c r="P106" s="54" t="n"/>
      <c r="Q106" s="165" t="n"/>
      <c r="R106" s="166" t="n"/>
      <c r="S106" s="165" t="n"/>
      <c r="T106" s="165" t="n"/>
      <c r="U106" s="160" t="n"/>
    </row>
    <row r="107" ht="24" customFormat="1" customHeight="1" s="76">
      <c r="A107" s="159" t="n"/>
      <c r="B107" s="77" t="inlineStr">
        <is>
          <t>Realizar las acciones de mejora conforme a la revisión por la alta dirección.</t>
        </is>
      </c>
      <c r="C107" s="149" t="n"/>
      <c r="D107" s="53" t="inlineStr">
        <is>
          <t>P*</t>
        </is>
      </c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>
        <v>1</v>
      </c>
      <c r="Q107" s="74">
        <f>IFERROR(IF(COUNT(E107:P107)&lt;1,0,IF(COUNT(E108:P108)&gt;=COUNT(E107:P107),1,(COUNT(E108:P108)/COUNT(E107:P107)))),0)</f>
        <v/>
      </c>
      <c r="R107" s="166" t="n"/>
      <c r="S107" s="57" t="inlineStr">
        <is>
          <t>Empleador y área SST</t>
        </is>
      </c>
      <c r="T107" s="58" t="inlineStr">
        <is>
          <t>Registro de las acciones de mejora establecidas por la alta dirección.</t>
        </is>
      </c>
      <c r="U107" s="88" t="n"/>
    </row>
    <row r="108" ht="24" customFormat="1" customHeight="1" s="76">
      <c r="A108" s="159" t="n"/>
      <c r="B108" s="154" t="n"/>
      <c r="C108" s="155" t="n"/>
      <c r="D108" s="61" t="inlineStr">
        <is>
          <t>E*</t>
        </is>
      </c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165" t="n"/>
      <c r="R108" s="166" t="n"/>
      <c r="S108" s="165" t="n"/>
      <c r="T108" s="165" t="n"/>
      <c r="U108" s="160" t="n"/>
    </row>
    <row r="109" ht="29.25" customFormat="1" customHeight="1" s="76">
      <c r="A109" s="159" t="n"/>
      <c r="B109" s="77" t="inlineStr">
        <is>
          <t xml:space="preserve">Elaborar del plan de mejoramiento </t>
        </is>
      </c>
      <c r="C109" s="149" t="n"/>
      <c r="D109" s="53" t="inlineStr">
        <is>
          <t>P*</t>
        </is>
      </c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>
        <v>1</v>
      </c>
      <c r="Q109" s="74">
        <f>IFERROR(IF(COUNT(E109:P109)&lt;1,0,IF(COUNT(E110:P110)&gt;=COUNT(E109:P109),1,(COUNT(E110:P110)/COUNT(E109:P109)))),0)</f>
        <v/>
      </c>
      <c r="R109" s="166" t="n"/>
      <c r="S109" s="57" t="inlineStr">
        <is>
          <t>Empleador, área SST y COPASST</t>
        </is>
      </c>
      <c r="T109" s="58" t="inlineStr">
        <is>
          <t>Registro del plan de mejoramiento</t>
        </is>
      </c>
      <c r="U109" s="88" t="n"/>
    </row>
    <row r="110" ht="28.5" customFormat="1" customHeight="1" s="76">
      <c r="A110" s="160" t="n"/>
      <c r="B110" s="154" t="n"/>
      <c r="C110" s="155" t="n"/>
      <c r="D110" s="61" t="inlineStr">
        <is>
          <t>E*</t>
        </is>
      </c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165" t="n"/>
      <c r="R110" s="165" t="n"/>
      <c r="S110" s="165" t="n"/>
      <c r="T110" s="165" t="n"/>
      <c r="U110" s="160" t="n"/>
    </row>
    <row r="111" ht="24" customFormat="1" customHeight="1" s="76">
      <c r="A111" s="89" t="inlineStr">
        <is>
          <t>TOTAL PROGRAMADO</t>
        </is>
      </c>
      <c r="B111" s="157" t="n"/>
      <c r="C111" s="157" t="n"/>
      <c r="D111" s="158" t="n"/>
      <c r="E111" s="54">
        <f>SUMIF($D$19:$D$110,"P*",E19:E110)</f>
        <v/>
      </c>
      <c r="F111" s="54">
        <f>SUMIF($D$19:$D$110,"P*",F19:F110)</f>
        <v/>
      </c>
      <c r="G111" s="54">
        <f>SUMIF($D$19:$D$110,"P*",G19:G110)</f>
        <v/>
      </c>
      <c r="H111" s="54">
        <f>SUMIF($D$19:$D$110,"P*",H19:H110)</f>
        <v/>
      </c>
      <c r="I111" s="54">
        <f>SUMIF($D$19:$D$110,"P*",I19:I110)</f>
        <v/>
      </c>
      <c r="J111" s="54">
        <f>SUMIF($D$19:$D$110,"P*",J19:J110)</f>
        <v/>
      </c>
      <c r="K111" s="54">
        <f>SUMIF($D$19:$D$110,"P*",K19:K110)</f>
        <v/>
      </c>
      <c r="L111" s="54">
        <f>SUMIF($D$19:$D$110,"P*",L19:L110)</f>
        <v/>
      </c>
      <c r="M111" s="54">
        <f>SUMIF($D$19:$D$110,"P*",M19:M110)</f>
        <v/>
      </c>
      <c r="N111" s="54">
        <f>SUMIF($D$19:$D$110,"P*",N19:N110)</f>
        <v/>
      </c>
      <c r="O111" s="54">
        <f>SUMIF($D$19:$D$110,"P*",O19:O110)</f>
        <v/>
      </c>
      <c r="P111" s="54">
        <f>SUMIF($D$19:$D$110,"P*",P19:P110)</f>
        <v/>
      </c>
      <c r="Q111" s="90">
        <f>SUM(E111:P111)</f>
        <v/>
      </c>
      <c r="R111" s="162" t="n"/>
      <c r="S111" s="91" t="n"/>
      <c r="T111" s="167" t="n"/>
      <c r="U111" s="168" t="n"/>
    </row>
    <row r="112" ht="24" customFormat="1" customHeight="1" s="76">
      <c r="A112" s="89" t="inlineStr">
        <is>
          <t>TOTAL EJECUTADO</t>
        </is>
      </c>
      <c r="B112" s="157" t="n"/>
      <c r="C112" s="157" t="n"/>
      <c r="D112" s="158" t="n"/>
      <c r="E112" s="54">
        <f>SUMIF($D$19:$D$110,"E*",E19:E110)</f>
        <v/>
      </c>
      <c r="F112" s="54">
        <f>SUMIF($D$19:$D$110,"E*",F19:F110)</f>
        <v/>
      </c>
      <c r="G112" s="54">
        <f>SUMIF($D$19:$D$110,"E*",G19:G110)</f>
        <v/>
      </c>
      <c r="H112" s="54">
        <f>SUMIF($D$19:$D$110,"E*",H19:H110)</f>
        <v/>
      </c>
      <c r="I112" s="54">
        <f>SUMIF($D$19:$D$110,"E*",I19:I110)</f>
        <v/>
      </c>
      <c r="J112" s="54">
        <f>SUMIF($D$19:$D$110,"E*",J19:J110)</f>
        <v/>
      </c>
      <c r="K112" s="54">
        <f>SUMIF($D$19:$D$110,"E*",K19:K110)</f>
        <v/>
      </c>
      <c r="L112" s="54">
        <f>SUMIF($D$19:$D$110,"E*",L19:L110)</f>
        <v/>
      </c>
      <c r="M112" s="54">
        <f>SUMIF($D$19:$D$110,"E*",M19:M110)</f>
        <v/>
      </c>
      <c r="N112" s="54">
        <f>SUMIF($D$19:$D$110,"E*",N19:N110)</f>
        <v/>
      </c>
      <c r="O112" s="54">
        <f>SUMIF($D$19:$D$110,"E*",O19:O110)</f>
        <v/>
      </c>
      <c r="P112" s="54">
        <f>SUMIF($D$19:$D$110,"E*",P19:P110)</f>
        <v/>
      </c>
      <c r="Q112" s="90">
        <f>SUM(E112:P112)</f>
        <v/>
      </c>
      <c r="R112" s="162" t="n"/>
      <c r="S112" s="169" t="n"/>
      <c r="T112" s="170" t="n"/>
      <c r="U112" s="171" t="n"/>
    </row>
    <row r="113" ht="20.25" customFormat="1" customHeight="1" s="76">
      <c r="A113" s="92" t="inlineStr">
        <is>
          <t>5. RECURSOS ASIGNADOS</t>
        </is>
      </c>
      <c r="B113" s="157" t="n"/>
      <c r="C113" s="157" t="n"/>
      <c r="D113" s="157" t="n"/>
      <c r="E113" s="157" t="n"/>
      <c r="F113" s="157" t="n"/>
      <c r="G113" s="157" t="n"/>
      <c r="H113" s="157" t="n"/>
      <c r="I113" s="157" t="n"/>
      <c r="J113" s="157" t="n"/>
      <c r="K113" s="157" t="n"/>
      <c r="L113" s="157" t="n"/>
      <c r="M113" s="157" t="n"/>
      <c r="N113" s="157" t="n"/>
      <c r="O113" s="157" t="n"/>
      <c r="P113" s="157" t="n"/>
      <c r="Q113" s="157" t="n"/>
      <c r="R113" s="157" t="n"/>
      <c r="S113" s="157" t="n"/>
      <c r="T113" s="157" t="n"/>
      <c r="U113" s="158" t="n"/>
    </row>
    <row r="114" ht="31.5" customHeight="1">
      <c r="A114" s="89" t="inlineStr">
        <is>
          <t>TIPO DE RECURSOS</t>
        </is>
      </c>
      <c r="B114" s="157" t="n"/>
      <c r="C114" s="157" t="n"/>
      <c r="D114" s="158" t="n"/>
      <c r="E114" s="89" t="inlineStr">
        <is>
          <t>DETALLE</t>
        </is>
      </c>
      <c r="F114" s="157" t="n"/>
      <c r="G114" s="157" t="n"/>
      <c r="H114" s="157" t="n"/>
      <c r="I114" s="157" t="n"/>
      <c r="J114" s="157" t="n"/>
      <c r="K114" s="157" t="n"/>
      <c r="L114" s="157" t="n"/>
      <c r="M114" s="157" t="n"/>
      <c r="N114" s="157" t="n"/>
      <c r="O114" s="157" t="n"/>
      <c r="P114" s="157" t="n"/>
      <c r="Q114" s="157" t="n"/>
      <c r="R114" s="158" t="n"/>
      <c r="S114" s="89" t="inlineStr">
        <is>
          <t>OBSERVACIONES</t>
        </is>
      </c>
      <c r="T114" s="157" t="n"/>
      <c r="U114" s="158" t="n"/>
    </row>
    <row r="115" ht="51" customHeight="1">
      <c r="A115" s="93" t="inlineStr">
        <is>
          <t>HUMANOS</t>
        </is>
      </c>
      <c r="B115" s="157" t="n"/>
      <c r="C115" s="157" t="n"/>
      <c r="D115" s="158" t="n"/>
      <c r="E115" s="77" t="inlineStr">
        <is>
          <t>Se asignará el tiempo, espacio y recursos para que la alta dirección, responsable del SG-SST, COPASST/VIGÏA, comité de convivencia laboral, brigadas de emergencias y demás partes interesadas puedan desarrollar sus funciones.</t>
        </is>
      </c>
      <c r="F115" s="157" t="n"/>
      <c r="G115" s="157" t="n"/>
      <c r="H115" s="157" t="n"/>
      <c r="I115" s="157" t="n"/>
      <c r="J115" s="157" t="n"/>
      <c r="K115" s="157" t="n"/>
      <c r="L115" s="157" t="n"/>
      <c r="M115" s="157" t="n"/>
      <c r="N115" s="157" t="n"/>
      <c r="O115" s="157" t="n"/>
      <c r="P115" s="157" t="n"/>
      <c r="Q115" s="157" t="n"/>
      <c r="R115" s="158" t="n"/>
      <c r="S115" s="77" t="n"/>
      <c r="T115" s="157" t="n"/>
      <c r="U115" s="158" t="n"/>
    </row>
    <row r="116" ht="31.5" customHeight="1">
      <c r="A116" s="94" t="inlineStr">
        <is>
          <t xml:space="preserve"> TECNICOS</t>
        </is>
      </c>
      <c r="B116" s="157" t="n"/>
      <c r="C116" s="157" t="n"/>
      <c r="D116" s="158" t="n"/>
      <c r="E116" s="77" t="inlineStr">
        <is>
          <t>Computador, impresora, y demás recursos técnicos que sean necesarios para cumplir con la implementación del SG-SST</t>
        </is>
      </c>
      <c r="F116" s="157" t="n"/>
      <c r="G116" s="157" t="n"/>
      <c r="H116" s="157" t="n"/>
      <c r="I116" s="157" t="n"/>
      <c r="J116" s="157" t="n"/>
      <c r="K116" s="157" t="n"/>
      <c r="L116" s="157" t="n"/>
      <c r="M116" s="157" t="n"/>
      <c r="N116" s="157" t="n"/>
      <c r="O116" s="157" t="n"/>
      <c r="P116" s="157" t="n"/>
      <c r="Q116" s="157" t="n"/>
      <c r="R116" s="158" t="n"/>
      <c r="S116" s="77" t="n"/>
      <c r="T116" s="157" t="n"/>
      <c r="U116" s="158" t="n"/>
    </row>
    <row r="117" ht="21" customHeight="1">
      <c r="A117" s="93" t="inlineStr">
        <is>
          <t xml:space="preserve"> FINANCIEROS</t>
        </is>
      </c>
      <c r="B117" s="157" t="n"/>
      <c r="C117" s="157" t="n"/>
      <c r="D117" s="158" t="n"/>
      <c r="E117" s="77" t="inlineStr">
        <is>
          <t xml:space="preserve">Se estableceran en el presupuesto </t>
        </is>
      </c>
      <c r="F117" s="157" t="n"/>
      <c r="G117" s="157" t="n"/>
      <c r="H117" s="157" t="n"/>
      <c r="I117" s="157" t="n"/>
      <c r="J117" s="157" t="n"/>
      <c r="K117" s="157" t="n"/>
      <c r="L117" s="157" t="n"/>
      <c r="M117" s="157" t="n"/>
      <c r="N117" s="157" t="n"/>
      <c r="O117" s="157" t="n"/>
      <c r="P117" s="157" t="n"/>
      <c r="Q117" s="157" t="n"/>
      <c r="R117" s="158" t="n"/>
      <c r="S117" s="77" t="n"/>
      <c r="T117" s="157" t="n"/>
      <c r="U117" s="158" t="n"/>
    </row>
    <row r="118" ht="36.6" customHeight="1" thickBot="1">
      <c r="A118" s="172" t="inlineStr">
        <is>
          <t>6. MEDICIÒN Y SEGUIMIENTO</t>
        </is>
      </c>
      <c r="U118" s="173" t="n"/>
    </row>
    <row r="119" ht="19.5" customHeight="1" thickBot="1">
      <c r="A119" s="174" t="inlineStr">
        <is>
          <t>PLAZO PARA EL CUMPLIMIENTO Y EJECUCIÓN DEL PLAN DE DE TRABAJO ANUAL</t>
        </is>
      </c>
      <c r="B119" s="175" t="n"/>
      <c r="C119" s="175" t="n"/>
      <c r="D119" s="175" t="n"/>
      <c r="E119" s="175" t="n"/>
      <c r="F119" s="175" t="n"/>
      <c r="G119" s="175" t="n"/>
      <c r="H119" s="175" t="n"/>
      <c r="I119" s="175" t="n"/>
      <c r="J119" s="175" t="n"/>
      <c r="K119" s="175" t="n"/>
      <c r="L119" s="175" t="n"/>
      <c r="M119" s="175" t="n"/>
      <c r="N119" s="175" t="n"/>
      <c r="O119" s="175" t="n"/>
      <c r="P119" s="175" t="n"/>
      <c r="Q119" s="175" t="n"/>
      <c r="R119" s="176" t="n"/>
      <c r="S119" s="177" t="inlineStr">
        <is>
          <t>GRAFICA</t>
        </is>
      </c>
      <c r="T119" s="178" t="n"/>
      <c r="U119" s="179" t="n"/>
    </row>
    <row r="120" ht="43.5" customHeight="1">
      <c r="A120" s="180" t="inlineStr">
        <is>
          <t>CUMPLIMIENTO DEL PLAN DE TRABAJO ANUAL</t>
        </is>
      </c>
      <c r="B120" s="158" t="n"/>
      <c r="C120" s="107" t="inlineStr">
        <is>
          <t>VARIABLES</t>
        </is>
      </c>
      <c r="D120" s="158" t="n"/>
      <c r="E120" s="107" t="inlineStr">
        <is>
          <t>ENE</t>
        </is>
      </c>
      <c r="F120" s="107" t="inlineStr">
        <is>
          <t>FEB</t>
        </is>
      </c>
      <c r="G120" s="107" t="inlineStr">
        <is>
          <t>MAR</t>
        </is>
      </c>
      <c r="H120" s="107" t="inlineStr">
        <is>
          <t>ABR</t>
        </is>
      </c>
      <c r="I120" s="107" t="inlineStr">
        <is>
          <t>MAY</t>
        </is>
      </c>
      <c r="J120" s="107" t="inlineStr">
        <is>
          <t>JUN</t>
        </is>
      </c>
      <c r="K120" s="107" t="inlineStr">
        <is>
          <t>JUL</t>
        </is>
      </c>
      <c r="L120" s="107" t="inlineStr">
        <is>
          <t>AGO</t>
        </is>
      </c>
      <c r="M120" s="107" t="inlineStr">
        <is>
          <t>SEP</t>
        </is>
      </c>
      <c r="N120" s="107" t="inlineStr">
        <is>
          <t>OCT</t>
        </is>
      </c>
      <c r="O120" s="107" t="inlineStr">
        <is>
          <t>NOV</t>
        </is>
      </c>
      <c r="P120" s="107" t="inlineStr">
        <is>
          <t>DIC</t>
        </is>
      </c>
      <c r="Q120" s="107" t="inlineStr">
        <is>
          <t>TOTAL</t>
        </is>
      </c>
      <c r="R120" s="158" t="n"/>
      <c r="S120" s="109" t="n"/>
      <c r="T120" s="178" t="n"/>
      <c r="U120" s="181" t="n"/>
    </row>
    <row r="121" ht="33" customHeight="1">
      <c r="A121" s="112" t="inlineStr">
        <is>
          <t>FORMULA</t>
        </is>
      </c>
      <c r="B121" s="182" t="inlineStr">
        <is>
          <t>Actividades ejecutadas *100
Actividades programadas</t>
        </is>
      </c>
      <c r="C121" s="183" t="inlineStr">
        <is>
          <t>ACTIVIDADES A DESARROLLAR</t>
        </is>
      </c>
      <c r="D121" s="158" t="n"/>
      <c r="E121" s="125">
        <f>E111</f>
        <v/>
      </c>
      <c r="F121" s="125">
        <f>F111</f>
        <v/>
      </c>
      <c r="G121" s="125">
        <f>G111</f>
        <v/>
      </c>
      <c r="H121" s="125">
        <f>H111</f>
        <v/>
      </c>
      <c r="I121" s="125">
        <f>I111</f>
        <v/>
      </c>
      <c r="J121" s="125">
        <f>J111</f>
        <v/>
      </c>
      <c r="K121" s="125">
        <f>K111</f>
        <v/>
      </c>
      <c r="L121" s="125">
        <f>L111</f>
        <v/>
      </c>
      <c r="M121" s="125">
        <f>M111</f>
        <v/>
      </c>
      <c r="N121" s="125">
        <f>N111</f>
        <v/>
      </c>
      <c r="O121" s="125">
        <f>O111</f>
        <v/>
      </c>
      <c r="P121" s="125">
        <f>P111</f>
        <v/>
      </c>
      <c r="Q121" s="126">
        <f>SUM(E121:P121)</f>
        <v/>
      </c>
      <c r="R121" s="157" t="n"/>
      <c r="S121" s="184" t="n"/>
      <c r="U121" s="153" t="n"/>
    </row>
    <row r="122" ht="27.6" customHeight="1">
      <c r="A122" s="185" t="n"/>
      <c r="B122" s="159" t="n"/>
      <c r="C122" s="183" t="inlineStr">
        <is>
          <t>ACTIVIDADES EJECUTADAS</t>
        </is>
      </c>
      <c r="D122" s="158" t="n"/>
      <c r="E122" s="125">
        <f>E112</f>
        <v/>
      </c>
      <c r="F122" s="125">
        <f>F112</f>
        <v/>
      </c>
      <c r="G122" s="125">
        <f>G112</f>
        <v/>
      </c>
      <c r="H122" s="125">
        <f>H112</f>
        <v/>
      </c>
      <c r="I122" s="125">
        <f>I112</f>
        <v/>
      </c>
      <c r="J122" s="125">
        <f>J112</f>
        <v/>
      </c>
      <c r="K122" s="125">
        <f>K112</f>
        <v/>
      </c>
      <c r="L122" s="125">
        <f>L112</f>
        <v/>
      </c>
      <c r="M122" s="125">
        <f>M112</f>
        <v/>
      </c>
      <c r="N122" s="125">
        <f>N112</f>
        <v/>
      </c>
      <c r="O122" s="125">
        <f>O112</f>
        <v/>
      </c>
      <c r="P122" s="125">
        <f>P112</f>
        <v/>
      </c>
      <c r="Q122" s="126">
        <f>SUM(E122:P122)</f>
        <v/>
      </c>
      <c r="R122" s="157" t="n"/>
      <c r="S122" s="184" t="n"/>
      <c r="U122" s="153" t="n"/>
    </row>
    <row r="123" ht="23.25" customHeight="1">
      <c r="A123" s="185" t="n"/>
      <c r="B123" s="159" t="n"/>
      <c r="C123" s="134" t="inlineStr">
        <is>
          <t>RESULTADO</t>
        </is>
      </c>
      <c r="D123" s="158" t="n"/>
      <c r="E123" s="135">
        <f>IFERROR(IF(E121&lt;1,"",IF((E122/E121)&gt;1,1,(E122/E121))),0)</f>
        <v/>
      </c>
      <c r="F123" s="135">
        <f>IFERROR(IF(F121&lt;1,"",IF((F122/F121)&gt;1,1,(F122/F121))),0)</f>
        <v/>
      </c>
      <c r="G123" s="135">
        <f>IFERROR(IF(G121&lt;1,"",IF((G122/G121)&gt;1,1,(G122/G121))),0)</f>
        <v/>
      </c>
      <c r="H123" s="135">
        <f>IFERROR(IF(H121&lt;1,"",IF((H122/H121)&gt;1,1,(H122/H121))),0)</f>
        <v/>
      </c>
      <c r="I123" s="135">
        <f>IFERROR(IF(I121&lt;1,"",IF((I122/I121)&gt;1,1,(I122/I121))),0)</f>
        <v/>
      </c>
      <c r="J123" s="135">
        <f>IFERROR(IF(J121&lt;1,"",IF((J122/J121)&gt;1,1,(J122/J121))),0)</f>
        <v/>
      </c>
      <c r="K123" s="135">
        <f>IFERROR(IF(K121&lt;1,"",IF((K122/K121)&gt;1,1,(K122/K121))),0)</f>
        <v/>
      </c>
      <c r="L123" s="135">
        <f>IFERROR(IF(L121&lt;1,"",IF((L122/L121)&gt;1,1,(L122/L121))),0)</f>
        <v/>
      </c>
      <c r="M123" s="135">
        <f>IFERROR(IF(M121&lt;1,"",IF((M122/M121)&gt;1,1,(M122/M121))),0)</f>
        <v/>
      </c>
      <c r="N123" s="135">
        <f>IFERROR(IF(N121&lt;1,"",IF((N122/N121)&gt;1,1,(N122/N121))),0)</f>
        <v/>
      </c>
      <c r="O123" s="135">
        <f>IFERROR(IF(O121&lt;1,"",IF((O122/O121)&gt;1,1,(O122/O121))),0)</f>
        <v/>
      </c>
      <c r="P123" s="135">
        <f>IFERROR(IF(P121&lt;1,"",IF((P122/P121)&gt;1,1,(P122/P121))),0)</f>
        <v/>
      </c>
      <c r="Q123" s="131">
        <f>IFERROR(IF(Q121&lt;1,"",IF((Q122/Q121)&gt;1,1,(Q122/Q121))),0)</f>
        <v/>
      </c>
      <c r="R123" s="157" t="n"/>
      <c r="S123" s="184" t="n"/>
      <c r="U123" s="153" t="n"/>
    </row>
    <row r="124" ht="23.25" customHeight="1">
      <c r="A124" s="186" t="n"/>
      <c r="B124" s="160" t="n"/>
      <c r="C124" s="134" t="inlineStr">
        <is>
          <t>META</t>
        </is>
      </c>
      <c r="D124" s="158" t="n"/>
      <c r="E124" s="135" t="n">
        <v>1</v>
      </c>
      <c r="F124" s="135" t="n">
        <v>1</v>
      </c>
      <c r="G124" s="135" t="n">
        <v>1</v>
      </c>
      <c r="H124" s="135" t="n">
        <v>1</v>
      </c>
      <c r="I124" s="135" t="n">
        <v>1</v>
      </c>
      <c r="J124" s="135" t="n">
        <v>1</v>
      </c>
      <c r="K124" s="135" t="n">
        <v>1</v>
      </c>
      <c r="L124" s="135" t="n">
        <v>1</v>
      </c>
      <c r="M124" s="135" t="n">
        <v>1</v>
      </c>
      <c r="N124" s="135" t="n">
        <v>1</v>
      </c>
      <c r="O124" s="135" t="n">
        <v>1</v>
      </c>
      <c r="P124" s="135" t="n">
        <v>1</v>
      </c>
      <c r="Q124" s="135" t="n">
        <v>1</v>
      </c>
      <c r="R124" s="158" t="n"/>
      <c r="S124" s="184" t="n"/>
      <c r="U124" s="153" t="n"/>
    </row>
    <row r="125" ht="16.5" customHeight="1">
      <c r="A125" s="137" t="inlineStr">
        <is>
          <t>ANALISIS DE DATOS</t>
        </is>
      </c>
      <c r="B125" s="157" t="n"/>
      <c r="C125" s="157" t="n"/>
      <c r="D125" s="157" t="n"/>
      <c r="E125" s="157" t="n"/>
      <c r="F125" s="157" t="n"/>
      <c r="G125" s="157" t="n"/>
      <c r="H125" s="157" t="n"/>
      <c r="I125" s="157" t="n"/>
      <c r="J125" s="157" t="n"/>
      <c r="K125" s="157" t="n"/>
      <c r="L125" s="157" t="n"/>
      <c r="M125" s="157" t="n"/>
      <c r="N125" s="157" t="n"/>
      <c r="O125" s="157" t="n"/>
      <c r="P125" s="157" t="n"/>
      <c r="Q125" s="157" t="n"/>
      <c r="R125" s="158" t="n"/>
      <c r="S125" s="184" t="n"/>
      <c r="U125" s="153" t="n"/>
    </row>
    <row r="126">
      <c r="A126" s="138" t="n"/>
      <c r="B126" s="150" t="n"/>
      <c r="C126" s="150" t="n"/>
      <c r="D126" s="150" t="n"/>
      <c r="E126" s="150" t="n"/>
      <c r="F126" s="150" t="n"/>
      <c r="G126" s="150" t="n"/>
      <c r="H126" s="150" t="n"/>
      <c r="I126" s="150" t="n"/>
      <c r="J126" s="150" t="n"/>
      <c r="K126" s="150" t="n"/>
      <c r="L126" s="150" t="n"/>
      <c r="M126" s="150" t="n"/>
      <c r="N126" s="150" t="n"/>
      <c r="O126" s="150" t="n"/>
      <c r="P126" s="150" t="n"/>
      <c r="Q126" s="150" t="n"/>
      <c r="R126" s="149" t="n"/>
      <c r="S126" s="184" t="n"/>
      <c r="U126" s="153" t="n"/>
    </row>
    <row r="127">
      <c r="A127" s="184" t="n"/>
      <c r="R127" s="153" t="n"/>
      <c r="S127" s="184" t="n"/>
      <c r="U127" s="153" t="n"/>
    </row>
    <row r="128">
      <c r="A128" s="184" t="n"/>
      <c r="R128" s="153" t="n"/>
      <c r="S128" s="184" t="n"/>
      <c r="U128" s="153" t="n"/>
    </row>
    <row r="129">
      <c r="A129" s="184" t="n"/>
      <c r="R129" s="153" t="n"/>
      <c r="S129" s="184" t="n"/>
      <c r="U129" s="153" t="n"/>
    </row>
    <row r="130">
      <c r="A130" s="184" t="n"/>
      <c r="R130" s="153" t="n"/>
      <c r="S130" s="184" t="n"/>
      <c r="U130" s="153" t="n"/>
    </row>
    <row r="131">
      <c r="A131" s="184" t="n"/>
      <c r="R131" s="153" t="n"/>
      <c r="S131" s="184" t="n"/>
      <c r="U131" s="153" t="n"/>
    </row>
    <row r="132" ht="12.6" customHeight="1" thickBot="1">
      <c r="A132" s="187" t="n"/>
      <c r="B132" s="156" t="n"/>
      <c r="C132" s="156" t="n"/>
      <c r="D132" s="156" t="n"/>
      <c r="E132" s="156" t="n"/>
      <c r="F132" s="156" t="n"/>
      <c r="G132" s="156" t="n"/>
      <c r="H132" s="156" t="n"/>
      <c r="I132" s="156" t="n"/>
      <c r="J132" s="156" t="n"/>
      <c r="K132" s="156" t="n"/>
      <c r="L132" s="156" t="n"/>
      <c r="M132" s="156" t="n"/>
      <c r="N132" s="156" t="n"/>
      <c r="O132" s="156" t="n"/>
      <c r="P132" s="156" t="n"/>
      <c r="Q132" s="156" t="n"/>
      <c r="R132" s="155" t="n"/>
      <c r="S132" s="187" t="n"/>
      <c r="T132" s="156" t="n"/>
      <c r="U132" s="155" t="n"/>
    </row>
  </sheetData>
  <mergeCells count="312">
    <mergeCell ref="U31:U32"/>
    <mergeCell ref="C121:D121"/>
    <mergeCell ref="B95:C96"/>
    <mergeCell ref="T79:T80"/>
    <mergeCell ref="T73:T74"/>
    <mergeCell ref="Q49:Q50"/>
    <mergeCell ref="T81:T82"/>
    <mergeCell ref="B85:C86"/>
    <mergeCell ref="S49:S50"/>
    <mergeCell ref="U67:U68"/>
    <mergeCell ref="E18:P18"/>
    <mergeCell ref="U29:U30"/>
    <mergeCell ref="U69:U70"/>
    <mergeCell ref="T63:T64"/>
    <mergeCell ref="B19:C20"/>
    <mergeCell ref="A117:D117"/>
    <mergeCell ref="A111:D111"/>
    <mergeCell ref="Q39:Q40"/>
    <mergeCell ref="B83:C84"/>
    <mergeCell ref="S39:S40"/>
    <mergeCell ref="U95:U96"/>
    <mergeCell ref="B33:C34"/>
    <mergeCell ref="S103:S104"/>
    <mergeCell ref="S37:S38"/>
    <mergeCell ref="T69:T70"/>
    <mergeCell ref="S97:S98"/>
    <mergeCell ref="U103:U104"/>
    <mergeCell ref="Q122:R122"/>
    <mergeCell ref="U97:U98"/>
    <mergeCell ref="U37:U38"/>
    <mergeCell ref="S111:U112"/>
    <mergeCell ref="E114:R114"/>
    <mergeCell ref="C123:D123"/>
    <mergeCell ref="B109:C110"/>
    <mergeCell ref="B47:C48"/>
    <mergeCell ref="T31:T32"/>
    <mergeCell ref="U19:U20"/>
    <mergeCell ref="Q57:Q58"/>
    <mergeCell ref="T95:T96"/>
    <mergeCell ref="T97:T98"/>
    <mergeCell ref="S27:S28"/>
    <mergeCell ref="U45:U46"/>
    <mergeCell ref="T71:T72"/>
    <mergeCell ref="U91:U92"/>
    <mergeCell ref="Q85:Q86"/>
    <mergeCell ref="B91:C92"/>
    <mergeCell ref="B41:C42"/>
    <mergeCell ref="B35:C36"/>
    <mergeCell ref="B93:C94"/>
    <mergeCell ref="T77:T78"/>
    <mergeCell ref="S63:S64"/>
    <mergeCell ref="B43:C44"/>
    <mergeCell ref="B16:D18"/>
    <mergeCell ref="U63:U64"/>
    <mergeCell ref="B101:C102"/>
    <mergeCell ref="U27:U28"/>
    <mergeCell ref="A7:U7"/>
    <mergeCell ref="T103:T104"/>
    <mergeCell ref="T59:T60"/>
    <mergeCell ref="T4:U4"/>
    <mergeCell ref="T61:T62"/>
    <mergeCell ref="A105:A110"/>
    <mergeCell ref="S53:S54"/>
    <mergeCell ref="U53:U54"/>
    <mergeCell ref="A126:R132"/>
    <mergeCell ref="E15:U15"/>
    <mergeCell ref="B31:C32"/>
    <mergeCell ref="S55:S56"/>
    <mergeCell ref="U55:U56"/>
    <mergeCell ref="T23:T24"/>
    <mergeCell ref="S115:U115"/>
    <mergeCell ref="A53:A100"/>
    <mergeCell ref="R105:R110"/>
    <mergeCell ref="B105:C106"/>
    <mergeCell ref="T39:T40"/>
    <mergeCell ref="E115:R115"/>
    <mergeCell ref="Q71:Q72"/>
    <mergeCell ref="S71:S72"/>
    <mergeCell ref="B107:C108"/>
    <mergeCell ref="Q112:R112"/>
    <mergeCell ref="Q21:Q22"/>
    <mergeCell ref="T16:T18"/>
    <mergeCell ref="I16:I17"/>
    <mergeCell ref="Q73:Q74"/>
    <mergeCell ref="S73:S74"/>
    <mergeCell ref="T93:T94"/>
    <mergeCell ref="Q23:Q24"/>
    <mergeCell ref="S23:S24"/>
    <mergeCell ref="T21:T22"/>
    <mergeCell ref="U41:U42"/>
    <mergeCell ref="A8:U8"/>
    <mergeCell ref="R19:R52"/>
    <mergeCell ref="U43:U44"/>
    <mergeCell ref="A10:U10"/>
    <mergeCell ref="T75:T76"/>
    <mergeCell ref="R53:R100"/>
    <mergeCell ref="T27:T28"/>
    <mergeCell ref="T91:T92"/>
    <mergeCell ref="S59:S60"/>
    <mergeCell ref="U59:U60"/>
    <mergeCell ref="B57:C58"/>
    <mergeCell ref="S61:S62"/>
    <mergeCell ref="U61:U62"/>
    <mergeCell ref="S116:U116"/>
    <mergeCell ref="Q79:Q80"/>
    <mergeCell ref="A113:U113"/>
    <mergeCell ref="A5:U5"/>
    <mergeCell ref="T55:T56"/>
    <mergeCell ref="Q81:Q82"/>
    <mergeCell ref="Q31:Q32"/>
    <mergeCell ref="B75:C76"/>
    <mergeCell ref="S87:S88"/>
    <mergeCell ref="Q89:Q90"/>
    <mergeCell ref="S89:S90"/>
    <mergeCell ref="U89:U90"/>
    <mergeCell ref="S51:S52"/>
    <mergeCell ref="U51:U52"/>
    <mergeCell ref="U16:U18"/>
    <mergeCell ref="T37:T38"/>
    <mergeCell ref="Q107:Q108"/>
    <mergeCell ref="A116:D116"/>
    <mergeCell ref="T45:T46"/>
    <mergeCell ref="A118:U118"/>
    <mergeCell ref="Q29:Q30"/>
    <mergeCell ref="B65:C66"/>
    <mergeCell ref="Q19:Q20"/>
    <mergeCell ref="U87:U88"/>
    <mergeCell ref="A120:B120"/>
    <mergeCell ref="A101:A104"/>
    <mergeCell ref="H16:H17"/>
    <mergeCell ref="T19:T20"/>
    <mergeCell ref="S119:U119"/>
    <mergeCell ref="Q95:Q96"/>
    <mergeCell ref="T67:T68"/>
    <mergeCell ref="S95:S96"/>
    <mergeCell ref="K16:K17"/>
    <mergeCell ref="T33:T34"/>
    <mergeCell ref="A119:R119"/>
    <mergeCell ref="B53:C54"/>
    <mergeCell ref="S77:S78"/>
    <mergeCell ref="U77:U78"/>
    <mergeCell ref="S19:S20"/>
    <mergeCell ref="B55:C56"/>
    <mergeCell ref="U75:U76"/>
    <mergeCell ref="U25:U26"/>
    <mergeCell ref="P16:P17"/>
    <mergeCell ref="T89:T90"/>
    <mergeCell ref="J16:J17"/>
    <mergeCell ref="T51:T52"/>
    <mergeCell ref="B25:C26"/>
    <mergeCell ref="Q45:Q46"/>
    <mergeCell ref="S45:S46"/>
    <mergeCell ref="Q91:Q92"/>
    <mergeCell ref="Q47:Q48"/>
    <mergeCell ref="S109:S110"/>
    <mergeCell ref="S47:S48"/>
    <mergeCell ref="U109:U110"/>
    <mergeCell ref="U65:U66"/>
    <mergeCell ref="E117:R117"/>
    <mergeCell ref="B121:B124"/>
    <mergeCell ref="T87:T88"/>
    <mergeCell ref="A112:D112"/>
    <mergeCell ref="T35:T36"/>
    <mergeCell ref="Q63:Q64"/>
    <mergeCell ref="B99:C100"/>
    <mergeCell ref="A114:D114"/>
    <mergeCell ref="A15:D15"/>
    <mergeCell ref="B79:C80"/>
    <mergeCell ref="Q27:Q28"/>
    <mergeCell ref="S83:S84"/>
    <mergeCell ref="U83:U84"/>
    <mergeCell ref="B21:C22"/>
    <mergeCell ref="B81:C82"/>
    <mergeCell ref="S33:S34"/>
    <mergeCell ref="U33:U34"/>
    <mergeCell ref="U93:U94"/>
    <mergeCell ref="S91:S92"/>
    <mergeCell ref="U85:U86"/>
    <mergeCell ref="S35:S36"/>
    <mergeCell ref="U35:U36"/>
    <mergeCell ref="Q53:Q54"/>
    <mergeCell ref="Q55:Q56"/>
    <mergeCell ref="T83:T84"/>
    <mergeCell ref="B49:C50"/>
    <mergeCell ref="Q97:Q98"/>
    <mergeCell ref="C124:D124"/>
    <mergeCell ref="S120:U132"/>
    <mergeCell ref="L4:S4"/>
    <mergeCell ref="T109:T110"/>
    <mergeCell ref="A16:A18"/>
    <mergeCell ref="Q120:R120"/>
    <mergeCell ref="A121:A124"/>
    <mergeCell ref="B29:C30"/>
    <mergeCell ref="Q41:Q42"/>
    <mergeCell ref="B23:C24"/>
    <mergeCell ref="S41:S42"/>
    <mergeCell ref="Q77:Q78"/>
    <mergeCell ref="B39:C40"/>
    <mergeCell ref="A6:U6"/>
    <mergeCell ref="Q43:Q44"/>
    <mergeCell ref="S105:S106"/>
    <mergeCell ref="Q16:R18"/>
    <mergeCell ref="S43:S44"/>
    <mergeCell ref="U105:U106"/>
    <mergeCell ref="Q124:R124"/>
    <mergeCell ref="U99:U100"/>
    <mergeCell ref="B37:C38"/>
    <mergeCell ref="S107:S108"/>
    <mergeCell ref="S101:S102"/>
    <mergeCell ref="U101:U102"/>
    <mergeCell ref="T85:T86"/>
    <mergeCell ref="Q61:Q62"/>
    <mergeCell ref="T99:T100"/>
    <mergeCell ref="B77:C78"/>
    <mergeCell ref="U49:U50"/>
    <mergeCell ref="Q87:Q88"/>
    <mergeCell ref="A4:D4"/>
    <mergeCell ref="O16:O17"/>
    <mergeCell ref="Q67:Q68"/>
    <mergeCell ref="Q121:R121"/>
    <mergeCell ref="B103:C104"/>
    <mergeCell ref="S67:S68"/>
    <mergeCell ref="Q103:Q104"/>
    <mergeCell ref="Q51:Q52"/>
    <mergeCell ref="U107:U108"/>
    <mergeCell ref="Q69:Q70"/>
    <mergeCell ref="S16:S18"/>
    <mergeCell ref="B45:C46"/>
    <mergeCell ref="S69:S70"/>
    <mergeCell ref="B63:C64"/>
    <mergeCell ref="A9:U9"/>
    <mergeCell ref="B27:C28"/>
    <mergeCell ref="C122:D122"/>
    <mergeCell ref="U39:U40"/>
    <mergeCell ref="E116:R116"/>
    <mergeCell ref="T105:T106"/>
    <mergeCell ref="T43:T44"/>
    <mergeCell ref="A11:U11"/>
    <mergeCell ref="T107:T108"/>
    <mergeCell ref="T101:T102"/>
    <mergeCell ref="Q37:Q38"/>
    <mergeCell ref="A19:A52"/>
    <mergeCell ref="C1:T3"/>
    <mergeCell ref="Q111:R111"/>
    <mergeCell ref="S57:S58"/>
    <mergeCell ref="Q93:Q94"/>
    <mergeCell ref="U57:U58"/>
    <mergeCell ref="T25:T26"/>
    <mergeCell ref="R101:R104"/>
    <mergeCell ref="T41:T42"/>
    <mergeCell ref="S114:U114"/>
    <mergeCell ref="A125:R125"/>
    <mergeCell ref="C120:D120"/>
    <mergeCell ref="E4:K4"/>
    <mergeCell ref="B71:C72"/>
    <mergeCell ref="Q75:Q76"/>
    <mergeCell ref="S75:S76"/>
    <mergeCell ref="Q25:Q26"/>
    <mergeCell ref="B73:C74"/>
    <mergeCell ref="S25:S26"/>
    <mergeCell ref="S85:S86"/>
    <mergeCell ref="L16:L17"/>
    <mergeCell ref="N16:N17"/>
    <mergeCell ref="F16:F17"/>
    <mergeCell ref="S117:U117"/>
    <mergeCell ref="A1:B3"/>
    <mergeCell ref="A12:U12"/>
    <mergeCell ref="U47:U48"/>
    <mergeCell ref="A14:U14"/>
    <mergeCell ref="Q65:Q66"/>
    <mergeCell ref="S65:S66"/>
    <mergeCell ref="B59:C60"/>
    <mergeCell ref="Q123:R123"/>
    <mergeCell ref="B61:C62"/>
    <mergeCell ref="T57:T58"/>
    <mergeCell ref="Q83:Q84"/>
    <mergeCell ref="T29:T30"/>
    <mergeCell ref="Q33:Q34"/>
    <mergeCell ref="T65:T66"/>
    <mergeCell ref="S93:S94"/>
    <mergeCell ref="A115:D115"/>
    <mergeCell ref="B87:C88"/>
    <mergeCell ref="Q35:Q36"/>
    <mergeCell ref="B89:C90"/>
    <mergeCell ref="B51:C52"/>
    <mergeCell ref="U71:U72"/>
    <mergeCell ref="Q109:Q110"/>
    <mergeCell ref="U21:U22"/>
    <mergeCell ref="S79:S80"/>
    <mergeCell ref="A13:U13"/>
    <mergeCell ref="U73:U74"/>
    <mergeCell ref="E16:E17"/>
    <mergeCell ref="G16:G17"/>
    <mergeCell ref="U81:U82"/>
    <mergeCell ref="U23:U24"/>
    <mergeCell ref="B67:C68"/>
    <mergeCell ref="B69:C70"/>
    <mergeCell ref="T53:T54"/>
    <mergeCell ref="T47:T48"/>
    <mergeCell ref="M16:M17"/>
    <mergeCell ref="Q59:Q60"/>
    <mergeCell ref="Q105:Q106"/>
    <mergeCell ref="Q99:Q100"/>
    <mergeCell ref="S99:S100"/>
    <mergeCell ref="B97:C98"/>
    <mergeCell ref="Q101:Q102"/>
    <mergeCell ref="U79:U80"/>
    <mergeCell ref="S29:S30"/>
    <mergeCell ref="S21:S22"/>
    <mergeCell ref="S81:S82"/>
    <mergeCell ref="T49:T50"/>
    <mergeCell ref="S31:S32"/>
  </mergeCells>
  <conditionalFormatting sqref="E33:P33">
    <cfRule type="cellIs" priority="831" operator="between" dxfId="0" stopIfTrue="1">
      <formula>1</formula>
      <formula>20</formula>
    </cfRule>
  </conditionalFormatting>
  <conditionalFormatting sqref="E41:P41">
    <cfRule type="cellIs" priority="826" operator="between" dxfId="0" stopIfTrue="1">
      <formula>1</formula>
      <formula>20</formula>
    </cfRule>
  </conditionalFormatting>
  <conditionalFormatting sqref="E37:P37">
    <cfRule type="cellIs" priority="827" operator="between" dxfId="0" stopIfTrue="1">
      <formula>1</formula>
      <formula>20</formula>
    </cfRule>
  </conditionalFormatting>
  <conditionalFormatting sqref="E53:P53">
    <cfRule type="cellIs" priority="822" operator="between" dxfId="0" stopIfTrue="1">
      <formula>1</formula>
      <formula>20</formula>
    </cfRule>
  </conditionalFormatting>
  <conditionalFormatting sqref="E57:P57">
    <cfRule type="cellIs" priority="819" operator="between" dxfId="0" stopIfTrue="1">
      <formula>1</formula>
      <formula>20</formula>
    </cfRule>
  </conditionalFormatting>
  <conditionalFormatting sqref="E59:P59">
    <cfRule type="cellIs" priority="815" operator="between" dxfId="0" stopIfTrue="1">
      <formula>1</formula>
      <formula>20</formula>
    </cfRule>
  </conditionalFormatting>
  <conditionalFormatting sqref="E105:P105">
    <cfRule type="cellIs" priority="809" operator="between" dxfId="0" stopIfTrue="1">
      <formula>1</formula>
      <formula>20</formula>
    </cfRule>
  </conditionalFormatting>
  <conditionalFormatting sqref="E34:P34">
    <cfRule type="cellIs" priority="803" operator="between" dxfId="3" stopIfTrue="1">
      <formula>1</formula>
      <formula>20</formula>
    </cfRule>
  </conditionalFormatting>
  <conditionalFormatting sqref="E42:P42">
    <cfRule type="cellIs" priority="798" operator="between" dxfId="3" stopIfTrue="1">
      <formula>1</formula>
      <formula>20</formula>
    </cfRule>
  </conditionalFormatting>
  <conditionalFormatting sqref="E38:P38">
    <cfRule type="cellIs" priority="799" operator="between" dxfId="3" stopIfTrue="1">
      <formula>1</formula>
      <formula>20</formula>
    </cfRule>
  </conditionalFormatting>
  <conditionalFormatting sqref="E54:P54">
    <cfRule type="cellIs" priority="794" operator="between" dxfId="3" stopIfTrue="1">
      <formula>1</formula>
      <formula>20</formula>
    </cfRule>
  </conditionalFormatting>
  <conditionalFormatting sqref="E58:P58">
    <cfRule type="cellIs" priority="791" operator="between" dxfId="3" stopIfTrue="1">
      <formula>1</formula>
      <formula>20</formula>
    </cfRule>
  </conditionalFormatting>
  <conditionalFormatting sqref="E60:P60 E61:G61 E62:P62">
    <cfRule type="cellIs" priority="787" operator="between" dxfId="3" stopIfTrue="1">
      <formula>1</formula>
      <formula>20</formula>
    </cfRule>
  </conditionalFormatting>
  <conditionalFormatting sqref="E64:P64">
    <cfRule type="cellIs" priority="786" operator="between" dxfId="3" stopIfTrue="1">
      <formula>1</formula>
      <formula>20</formula>
    </cfRule>
  </conditionalFormatting>
  <conditionalFormatting sqref="E106:P106">
    <cfRule type="cellIs" priority="782" operator="between" dxfId="3" stopIfTrue="1">
      <formula>1</formula>
      <formula>20</formula>
    </cfRule>
  </conditionalFormatting>
  <conditionalFormatting sqref="R19:R24 R33:R34 R37:R38 R41:R42 R53:R54 R57:R64">
    <cfRule type="cellIs" priority="778" operator="greaterThan" dxfId="3" stopIfTrue="1">
      <formula>0.7</formula>
    </cfRule>
    <cfRule type="cellIs" priority="779" operator="between" dxfId="7" stopIfTrue="1">
      <formula>0.69</formula>
      <formula>0.45</formula>
    </cfRule>
    <cfRule type="cellIs" priority="780" operator="between" dxfId="0" stopIfTrue="1">
      <formula>0</formula>
      <formula>0.44</formula>
    </cfRule>
  </conditionalFormatting>
  <conditionalFormatting sqref="R105:R106">
    <cfRule type="cellIs" priority="769" operator="greaterThan" dxfId="3" stopIfTrue="1">
      <formula>0.7</formula>
    </cfRule>
    <cfRule type="cellIs" priority="770" operator="between" dxfId="7" stopIfTrue="1">
      <formula>0.69</formula>
      <formula>0.45</formula>
    </cfRule>
    <cfRule type="cellIs" priority="771" operator="between" dxfId="0" stopIfTrue="1">
      <formula>0</formula>
      <formula>0.44</formula>
    </cfRule>
  </conditionalFormatting>
  <conditionalFormatting sqref="R49:R50">
    <cfRule type="cellIs" priority="723" operator="greaterThan" dxfId="3" stopIfTrue="1">
      <formula>0.7</formula>
    </cfRule>
    <cfRule type="cellIs" priority="724" operator="between" dxfId="7" stopIfTrue="1">
      <formula>0.69</formula>
      <formula>0.45</formula>
    </cfRule>
    <cfRule type="cellIs" priority="725" operator="between" dxfId="0" stopIfTrue="1">
      <formula>0</formula>
      <formula>0.44</formula>
    </cfRule>
  </conditionalFormatting>
  <conditionalFormatting sqref="E49:P49">
    <cfRule type="cellIs" priority="727" operator="between" dxfId="0" stopIfTrue="1">
      <formula>1</formula>
      <formula>20</formula>
    </cfRule>
  </conditionalFormatting>
  <conditionalFormatting sqref="E50:P50">
    <cfRule type="cellIs" priority="726" operator="between" dxfId="3" stopIfTrue="1">
      <formula>1</formula>
      <formula>20</formula>
    </cfRule>
  </conditionalFormatting>
  <conditionalFormatting sqref="R65:R66">
    <cfRule type="cellIs" priority="708" operator="greaterThan" dxfId="3" stopIfTrue="1">
      <formula>0.7</formula>
    </cfRule>
    <cfRule type="cellIs" priority="709" operator="between" dxfId="7" stopIfTrue="1">
      <formula>0.69</formula>
      <formula>0.45</formula>
    </cfRule>
    <cfRule type="cellIs" priority="710" operator="between" dxfId="0" stopIfTrue="1">
      <formula>0</formula>
      <formula>0.44</formula>
    </cfRule>
  </conditionalFormatting>
  <conditionalFormatting sqref="E66:P66">
    <cfRule type="cellIs" priority="711" operator="between" dxfId="3" stopIfTrue="1">
      <formula>1</formula>
      <formula>20</formula>
    </cfRule>
  </conditionalFormatting>
  <conditionalFormatting sqref="E67:P67">
    <cfRule type="cellIs" priority="654" operator="between" dxfId="0" stopIfTrue="1">
      <formula>1</formula>
      <formula>20</formula>
    </cfRule>
  </conditionalFormatting>
  <conditionalFormatting sqref="E68:P68">
    <cfRule type="cellIs" priority="653" operator="between" dxfId="3" stopIfTrue="1">
      <formula>1</formula>
      <formula>20</formula>
    </cfRule>
  </conditionalFormatting>
  <conditionalFormatting sqref="R67:R68">
    <cfRule type="cellIs" priority="650" operator="greaterThan" dxfId="3" stopIfTrue="1">
      <formula>0.7</formula>
    </cfRule>
    <cfRule type="cellIs" priority="651" operator="between" dxfId="7" stopIfTrue="1">
      <formula>0.69</formula>
      <formula>0.45</formula>
    </cfRule>
    <cfRule type="cellIs" priority="652" operator="between" dxfId="0" stopIfTrue="1">
      <formula>0</formula>
      <formula>0.44</formula>
    </cfRule>
  </conditionalFormatting>
  <conditionalFormatting sqref="E69:P69">
    <cfRule type="cellIs" priority="649" operator="between" dxfId="0" stopIfTrue="1">
      <formula>1</formula>
      <formula>20</formula>
    </cfRule>
  </conditionalFormatting>
  <conditionalFormatting sqref="E70:P70">
    <cfRule type="cellIs" priority="648" operator="between" dxfId="3" stopIfTrue="1">
      <formula>1</formula>
      <formula>20</formula>
    </cfRule>
  </conditionalFormatting>
  <conditionalFormatting sqref="R69:R70">
    <cfRule type="cellIs" priority="645" operator="greaterThan" dxfId="3" stopIfTrue="1">
      <formula>0.7</formula>
    </cfRule>
    <cfRule type="cellIs" priority="646" operator="between" dxfId="7" stopIfTrue="1">
      <formula>0.69</formula>
      <formula>0.45</formula>
    </cfRule>
    <cfRule type="cellIs" priority="647" operator="between" dxfId="0" stopIfTrue="1">
      <formula>0</formula>
      <formula>0.44</formula>
    </cfRule>
  </conditionalFormatting>
  <conditionalFormatting sqref="E71:P71">
    <cfRule type="cellIs" priority="644" operator="between" dxfId="0" stopIfTrue="1">
      <formula>1</formula>
      <formula>20</formula>
    </cfRule>
  </conditionalFormatting>
  <conditionalFormatting sqref="E72:P72">
    <cfRule type="cellIs" priority="643" operator="between" dxfId="3" stopIfTrue="1">
      <formula>1</formula>
      <formula>20</formula>
    </cfRule>
  </conditionalFormatting>
  <conditionalFormatting sqref="R71:R72">
    <cfRule type="cellIs" priority="640" operator="greaterThan" dxfId="3" stopIfTrue="1">
      <formula>0.7</formula>
    </cfRule>
    <cfRule type="cellIs" priority="641" operator="between" dxfId="7" stopIfTrue="1">
      <formula>0.69</formula>
      <formula>0.45</formula>
    </cfRule>
    <cfRule type="cellIs" priority="642" operator="between" dxfId="0" stopIfTrue="1">
      <formula>0</formula>
      <formula>0.44</formula>
    </cfRule>
  </conditionalFormatting>
  <conditionalFormatting sqref="E74:P74">
    <cfRule type="cellIs" priority="638" operator="between" dxfId="3" stopIfTrue="1">
      <formula>1</formula>
      <formula>20</formula>
    </cfRule>
  </conditionalFormatting>
  <conditionalFormatting sqref="R73:R74">
    <cfRule type="cellIs" priority="635" operator="greaterThan" dxfId="3" stopIfTrue="1">
      <formula>0.7</formula>
    </cfRule>
    <cfRule type="cellIs" priority="636" operator="between" dxfId="7" stopIfTrue="1">
      <formula>0.69</formula>
      <formula>0.45</formula>
    </cfRule>
    <cfRule type="cellIs" priority="637" operator="between" dxfId="0" stopIfTrue="1">
      <formula>0</formula>
      <formula>0.44</formula>
    </cfRule>
  </conditionalFormatting>
  <conditionalFormatting sqref="E63:P63">
    <cfRule type="cellIs" priority="569" operator="between" dxfId="0" stopIfTrue="1">
      <formula>1</formula>
      <formula>20</formula>
    </cfRule>
  </conditionalFormatting>
  <conditionalFormatting sqref="E77:P77">
    <cfRule type="cellIs" priority="629" operator="between" dxfId="0" stopIfTrue="1">
      <formula>1</formula>
      <formula>20</formula>
    </cfRule>
  </conditionalFormatting>
  <conditionalFormatting sqref="E78:P78">
    <cfRule type="cellIs" priority="628" operator="between" dxfId="3" stopIfTrue="1">
      <formula>1</formula>
      <formula>20</formula>
    </cfRule>
  </conditionalFormatting>
  <conditionalFormatting sqref="R77:R78">
    <cfRule type="cellIs" priority="625" operator="greaterThan" dxfId="3" stopIfTrue="1">
      <formula>0.7</formula>
    </cfRule>
    <cfRule type="cellIs" priority="626" operator="between" dxfId="7" stopIfTrue="1">
      <formula>0.69</formula>
      <formula>0.45</formula>
    </cfRule>
    <cfRule type="cellIs" priority="627" operator="between" dxfId="0" stopIfTrue="1">
      <formula>0</formula>
      <formula>0.44</formula>
    </cfRule>
  </conditionalFormatting>
  <conditionalFormatting sqref="E65:P65">
    <cfRule type="cellIs" priority="568" operator="between" dxfId="0" stopIfTrue="1">
      <formula>1</formula>
      <formula>20</formula>
    </cfRule>
  </conditionalFormatting>
  <conditionalFormatting sqref="E73:P73">
    <cfRule type="cellIs" priority="567" operator="between" dxfId="0" stopIfTrue="1">
      <formula>1</formula>
      <formula>20</formula>
    </cfRule>
  </conditionalFormatting>
  <conditionalFormatting sqref="E103:P103">
    <cfRule type="cellIs" priority="556" operator="between" dxfId="0" stopIfTrue="1">
      <formula>1</formula>
      <formula>20</formula>
    </cfRule>
  </conditionalFormatting>
  <conditionalFormatting sqref="E104:P104">
    <cfRule type="cellIs" priority="555" operator="between" dxfId="3" stopIfTrue="1">
      <formula>1</formula>
      <formula>20</formula>
    </cfRule>
  </conditionalFormatting>
  <conditionalFormatting sqref="R103:R104">
    <cfRule type="cellIs" priority="552" operator="greaterThan" dxfId="3" stopIfTrue="1">
      <formula>0.7</formula>
    </cfRule>
    <cfRule type="cellIs" priority="553" operator="between" dxfId="7" stopIfTrue="1">
      <formula>0.69</formula>
      <formula>0.45</formula>
    </cfRule>
    <cfRule type="cellIs" priority="554" operator="between" dxfId="0" stopIfTrue="1">
      <formula>0</formula>
      <formula>0.44</formula>
    </cfRule>
  </conditionalFormatting>
  <conditionalFormatting sqref="E101:P101">
    <cfRule type="cellIs" priority="561" operator="between" dxfId="0" stopIfTrue="1">
      <formula>1</formula>
      <formula>20</formula>
    </cfRule>
  </conditionalFormatting>
  <conditionalFormatting sqref="E102:P102">
    <cfRule type="cellIs" priority="560" operator="between" dxfId="3" stopIfTrue="1">
      <formula>1</formula>
      <formula>20</formula>
    </cfRule>
  </conditionalFormatting>
  <conditionalFormatting sqref="R101:R102">
    <cfRule type="cellIs" priority="557" operator="greaterThan" dxfId="3" stopIfTrue="1">
      <formula>0.7</formula>
    </cfRule>
    <cfRule type="cellIs" priority="558" operator="between" dxfId="7" stopIfTrue="1">
      <formula>0.69</formula>
      <formula>0.45</formula>
    </cfRule>
    <cfRule type="cellIs" priority="559" operator="between" dxfId="0" stopIfTrue="1">
      <formula>0</formula>
      <formula>0.44</formula>
    </cfRule>
  </conditionalFormatting>
  <conditionalFormatting sqref="E109:P109">
    <cfRule type="cellIs" priority="536" operator="between" dxfId="0" stopIfTrue="1">
      <formula>1</formula>
      <formula>20</formula>
    </cfRule>
  </conditionalFormatting>
  <conditionalFormatting sqref="E110:P110">
    <cfRule type="cellIs" priority="535" operator="between" dxfId="3" stopIfTrue="1">
      <formula>1</formula>
      <formula>20</formula>
    </cfRule>
  </conditionalFormatting>
  <conditionalFormatting sqref="R109:R110">
    <cfRule type="cellIs" priority="532" operator="greaterThan" dxfId="3" stopIfTrue="1">
      <formula>0.7</formula>
    </cfRule>
    <cfRule type="cellIs" priority="533" operator="between" dxfId="7" stopIfTrue="1">
      <formula>0.69</formula>
      <formula>0.45</formula>
    </cfRule>
    <cfRule type="cellIs" priority="534" operator="between" dxfId="0" stopIfTrue="1">
      <formula>0</formula>
      <formula>0.44</formula>
    </cfRule>
  </conditionalFormatting>
  <conditionalFormatting sqref="E107:P107">
    <cfRule type="cellIs" priority="546" operator="between" dxfId="0" stopIfTrue="1">
      <formula>1</formula>
      <formula>20</formula>
    </cfRule>
  </conditionalFormatting>
  <conditionalFormatting sqref="E108:P108">
    <cfRule type="cellIs" priority="545" operator="between" dxfId="3" stopIfTrue="1">
      <formula>1</formula>
      <formula>20</formula>
    </cfRule>
  </conditionalFormatting>
  <conditionalFormatting sqref="R107:R108">
    <cfRule type="cellIs" priority="542" operator="greaterThan" dxfId="3" stopIfTrue="1">
      <formula>0.7</formula>
    </cfRule>
    <cfRule type="cellIs" priority="543" operator="between" dxfId="7" stopIfTrue="1">
      <formula>0.69</formula>
      <formula>0.45</formula>
    </cfRule>
    <cfRule type="cellIs" priority="544" operator="between" dxfId="0" stopIfTrue="1">
      <formula>0</formula>
      <formula>0.44</formula>
    </cfRule>
  </conditionalFormatting>
  <conditionalFormatting sqref="E51:P51">
    <cfRule type="cellIs" priority="481" operator="between" dxfId="0" stopIfTrue="1">
      <formula>1</formula>
      <formula>20</formula>
    </cfRule>
  </conditionalFormatting>
  <conditionalFormatting sqref="E52:P52">
    <cfRule type="cellIs" priority="480" operator="between" dxfId="3" stopIfTrue="1">
      <formula>1</formula>
      <formula>20</formula>
    </cfRule>
  </conditionalFormatting>
  <conditionalFormatting sqref="R51:R52">
    <cfRule type="cellIs" priority="477" operator="greaterThan" dxfId="3" stopIfTrue="1">
      <formula>0.7</formula>
    </cfRule>
    <cfRule type="cellIs" priority="478" operator="between" dxfId="7" stopIfTrue="1">
      <formula>0.69</formula>
      <formula>0.45</formula>
    </cfRule>
    <cfRule type="cellIs" priority="479" operator="between" dxfId="0" stopIfTrue="1">
      <formula>0</formula>
      <formula>0.44</formula>
    </cfRule>
  </conditionalFormatting>
  <conditionalFormatting sqref="R79:R80">
    <cfRule type="cellIs" priority="297" operator="greaterThan" dxfId="3" stopIfTrue="1">
      <formula>0.7</formula>
    </cfRule>
    <cfRule type="cellIs" priority="298" operator="between" dxfId="7" stopIfTrue="1">
      <formula>0.69</formula>
      <formula>0.45</formula>
    </cfRule>
    <cfRule type="cellIs" priority="299" operator="between" dxfId="0" stopIfTrue="1">
      <formula>0</formula>
      <formula>0.44</formula>
    </cfRule>
  </conditionalFormatting>
  <conditionalFormatting sqref="E79:P79">
    <cfRule type="cellIs" priority="301" operator="between" dxfId="0" stopIfTrue="1">
      <formula>1</formula>
      <formula>20</formula>
    </cfRule>
  </conditionalFormatting>
  <conditionalFormatting sqref="E80:P80">
    <cfRule type="cellIs" priority="300" operator="between" dxfId="3" stopIfTrue="1">
      <formula>1</formula>
      <formula>20</formula>
    </cfRule>
  </conditionalFormatting>
  <conditionalFormatting sqref="R83:R84">
    <cfRule type="cellIs" priority="287" operator="greaterThan" dxfId="3" stopIfTrue="1">
      <formula>0.7</formula>
    </cfRule>
    <cfRule type="cellIs" priority="288" operator="between" dxfId="7" stopIfTrue="1">
      <formula>0.69</formula>
      <formula>0.45</formula>
    </cfRule>
    <cfRule type="cellIs" priority="289" operator="between" dxfId="0" stopIfTrue="1">
      <formula>0</formula>
      <formula>0.44</formula>
    </cfRule>
  </conditionalFormatting>
  <conditionalFormatting sqref="E84:P84">
    <cfRule type="cellIs" priority="290" operator="between" dxfId="3" stopIfTrue="1">
      <formula>1</formula>
      <formula>20</formula>
    </cfRule>
  </conditionalFormatting>
  <conditionalFormatting sqref="E82:P82">
    <cfRule type="cellIs" priority="295" operator="between" dxfId="3" stopIfTrue="1">
      <formula>1</formula>
      <formula>20</formula>
    </cfRule>
  </conditionalFormatting>
  <conditionalFormatting sqref="R81:R82">
    <cfRule type="cellIs" priority="292" operator="greaterThan" dxfId="3" stopIfTrue="1">
      <formula>0.7</formula>
    </cfRule>
    <cfRule type="cellIs" priority="293" operator="between" dxfId="7" stopIfTrue="1">
      <formula>0.69</formula>
      <formula>0.45</formula>
    </cfRule>
    <cfRule type="cellIs" priority="294" operator="between" dxfId="0" stopIfTrue="1">
      <formula>0</formula>
      <formula>0.44</formula>
    </cfRule>
  </conditionalFormatting>
  <conditionalFormatting sqref="E90:P90">
    <cfRule type="cellIs" priority="260" operator="between" dxfId="3" stopIfTrue="1">
      <formula>1</formula>
      <formula>20</formula>
    </cfRule>
  </conditionalFormatting>
  <conditionalFormatting sqref="R89:R90">
    <cfRule type="cellIs" priority="257" operator="greaterThan" dxfId="3" stopIfTrue="1">
      <formula>0.7</formula>
    </cfRule>
    <cfRule type="cellIs" priority="258" operator="between" dxfId="7" stopIfTrue="1">
      <formula>0.69</formula>
      <formula>0.45</formula>
    </cfRule>
    <cfRule type="cellIs" priority="259" operator="between" dxfId="0" stopIfTrue="1">
      <formula>0</formula>
      <formula>0.44</formula>
    </cfRule>
  </conditionalFormatting>
  <conditionalFormatting sqref="E86:P86">
    <cfRule type="cellIs" priority="275" operator="between" dxfId="3" stopIfTrue="1">
      <formula>1</formula>
      <formula>20</formula>
    </cfRule>
  </conditionalFormatting>
  <conditionalFormatting sqref="R85:R86">
    <cfRule type="cellIs" priority="272" operator="greaterThan" dxfId="3" stopIfTrue="1">
      <formula>0.7</formula>
    </cfRule>
    <cfRule type="cellIs" priority="273" operator="between" dxfId="7" stopIfTrue="1">
      <formula>0.69</formula>
      <formula>0.45</formula>
    </cfRule>
    <cfRule type="cellIs" priority="274" operator="between" dxfId="0" stopIfTrue="1">
      <formula>0</formula>
      <formula>0.44</formula>
    </cfRule>
  </conditionalFormatting>
  <conditionalFormatting sqref="E88:P88">
    <cfRule type="cellIs" priority="270" operator="between" dxfId="3" stopIfTrue="1">
      <formula>1</formula>
      <formula>20</formula>
    </cfRule>
  </conditionalFormatting>
  <conditionalFormatting sqref="R87:R88">
    <cfRule type="cellIs" priority="267" operator="greaterThan" dxfId="3" stopIfTrue="1">
      <formula>0.7</formula>
    </cfRule>
    <cfRule type="cellIs" priority="268" operator="between" dxfId="7" stopIfTrue="1">
      <formula>0.69</formula>
      <formula>0.45</formula>
    </cfRule>
    <cfRule type="cellIs" priority="269" operator="between" dxfId="0" stopIfTrue="1">
      <formula>0</formula>
      <formula>0.44</formula>
    </cfRule>
  </conditionalFormatting>
  <conditionalFormatting sqref="E81:P81">
    <cfRule type="cellIs" priority="236" operator="between" dxfId="0" stopIfTrue="1">
      <formula>1</formula>
      <formula>20</formula>
    </cfRule>
  </conditionalFormatting>
  <conditionalFormatting sqref="E83:P83">
    <cfRule type="cellIs" priority="235" operator="between" dxfId="0" stopIfTrue="1">
      <formula>1</formula>
      <formula>20</formula>
    </cfRule>
  </conditionalFormatting>
  <conditionalFormatting sqref="E85:P85">
    <cfRule type="cellIs" priority="234" operator="between" dxfId="0" stopIfTrue="1">
      <formula>1</formula>
      <formula>20</formula>
    </cfRule>
  </conditionalFormatting>
  <conditionalFormatting sqref="E87:P87">
    <cfRule type="cellIs" priority="233" operator="between" dxfId="0" stopIfTrue="1">
      <formula>1</formula>
      <formula>20</formula>
    </cfRule>
  </conditionalFormatting>
  <conditionalFormatting sqref="E89:P89">
    <cfRule type="cellIs" priority="232" operator="between" dxfId="0" stopIfTrue="1">
      <formula>1</formula>
      <formula>20</formula>
    </cfRule>
  </conditionalFormatting>
  <conditionalFormatting sqref="E19:P19">
    <cfRule type="cellIs" priority="230" operator="between" dxfId="0" stopIfTrue="1">
      <formula>1</formula>
      <formula>20</formula>
    </cfRule>
  </conditionalFormatting>
  <conditionalFormatting sqref="E20:P20">
    <cfRule type="cellIs" priority="229" operator="between" dxfId="3" stopIfTrue="1">
      <formula>1</formula>
      <formula>20</formula>
    </cfRule>
  </conditionalFormatting>
  <conditionalFormatting sqref="E25:P25">
    <cfRule type="cellIs" priority="228" operator="between" dxfId="0" stopIfTrue="1">
      <formula>1</formula>
      <formula>20</formula>
    </cfRule>
  </conditionalFormatting>
  <conditionalFormatting sqref="E26:P26">
    <cfRule type="cellIs" priority="227" operator="between" dxfId="3" stopIfTrue="1">
      <formula>1</formula>
      <formula>20</formula>
    </cfRule>
  </conditionalFormatting>
  <conditionalFormatting sqref="R25:R26">
    <cfRule type="cellIs" priority="224" operator="greaterThan" dxfId="3" stopIfTrue="1">
      <formula>0.7</formula>
    </cfRule>
    <cfRule type="cellIs" priority="225" operator="between" dxfId="7" stopIfTrue="1">
      <formula>0.69</formula>
      <formula>0.45</formula>
    </cfRule>
    <cfRule type="cellIs" priority="226" operator="between" dxfId="0" stopIfTrue="1">
      <formula>0</formula>
      <formula>0.44</formula>
    </cfRule>
  </conditionalFormatting>
  <conditionalFormatting sqref="E27:P27">
    <cfRule type="cellIs" priority="218" operator="between" dxfId="0" stopIfTrue="1">
      <formula>1</formula>
      <formula>20</formula>
    </cfRule>
  </conditionalFormatting>
  <conditionalFormatting sqref="E28:P28">
    <cfRule type="cellIs" priority="217" operator="between" dxfId="3" stopIfTrue="1">
      <formula>1</formula>
      <formula>20</formula>
    </cfRule>
  </conditionalFormatting>
  <conditionalFormatting sqref="R27:R28">
    <cfRule type="cellIs" priority="214" operator="greaterThan" dxfId="3" stopIfTrue="1">
      <formula>0.7</formula>
    </cfRule>
    <cfRule type="cellIs" priority="215" operator="between" dxfId="7" stopIfTrue="1">
      <formula>0.69</formula>
      <formula>0.45</formula>
    </cfRule>
    <cfRule type="cellIs" priority="216" operator="between" dxfId="0" stopIfTrue="1">
      <formula>0</formula>
      <formula>0.44</formula>
    </cfRule>
  </conditionalFormatting>
  <conditionalFormatting sqref="E31:P31">
    <cfRule type="cellIs" priority="208" operator="between" dxfId="0" stopIfTrue="1">
      <formula>1</formula>
      <formula>20</formula>
    </cfRule>
  </conditionalFormatting>
  <conditionalFormatting sqref="E32:P32">
    <cfRule type="cellIs" priority="207" operator="between" dxfId="3" stopIfTrue="1">
      <formula>1</formula>
      <formula>20</formula>
    </cfRule>
  </conditionalFormatting>
  <conditionalFormatting sqref="R31:R32">
    <cfRule type="cellIs" priority="204" operator="greaterThan" dxfId="3" stopIfTrue="1">
      <formula>0.7</formula>
    </cfRule>
    <cfRule type="cellIs" priority="205" operator="between" dxfId="7" stopIfTrue="1">
      <formula>0.69</formula>
      <formula>0.45</formula>
    </cfRule>
    <cfRule type="cellIs" priority="206" operator="between" dxfId="0" stopIfTrue="1">
      <formula>0</formula>
      <formula>0.44</formula>
    </cfRule>
  </conditionalFormatting>
  <conditionalFormatting sqref="E35:P35">
    <cfRule type="cellIs" priority="188" operator="between" dxfId="0" stopIfTrue="1">
      <formula>1</formula>
      <formula>20</formula>
    </cfRule>
  </conditionalFormatting>
  <conditionalFormatting sqref="E36:P36">
    <cfRule type="cellIs" priority="187" operator="between" dxfId="3" stopIfTrue="1">
      <formula>1</formula>
      <formula>20</formula>
    </cfRule>
  </conditionalFormatting>
  <conditionalFormatting sqref="R35:R36">
    <cfRule type="cellIs" priority="184" operator="greaterThan" dxfId="3" stopIfTrue="1">
      <formula>0.7</formula>
    </cfRule>
    <cfRule type="cellIs" priority="185" operator="between" dxfId="7" stopIfTrue="1">
      <formula>0.69</formula>
      <formula>0.45</formula>
    </cfRule>
    <cfRule type="cellIs" priority="186" operator="between" dxfId="0" stopIfTrue="1">
      <formula>0</formula>
      <formula>0.44</formula>
    </cfRule>
  </conditionalFormatting>
  <conditionalFormatting sqref="E39:P39">
    <cfRule type="cellIs" priority="173" operator="between" dxfId="0" stopIfTrue="1">
      <formula>1</formula>
      <formula>20</formula>
    </cfRule>
  </conditionalFormatting>
  <conditionalFormatting sqref="E40:P40">
    <cfRule type="cellIs" priority="172" operator="between" dxfId="3" stopIfTrue="1">
      <formula>1</formula>
      <formula>20</formula>
    </cfRule>
  </conditionalFormatting>
  <conditionalFormatting sqref="R39:R40">
    <cfRule type="cellIs" priority="169" operator="greaterThan" dxfId="3" stopIfTrue="1">
      <formula>0.7</formula>
    </cfRule>
    <cfRule type="cellIs" priority="170" operator="between" dxfId="7" stopIfTrue="1">
      <formula>0.69</formula>
      <formula>0.45</formula>
    </cfRule>
    <cfRule type="cellIs" priority="171" operator="between" dxfId="0" stopIfTrue="1">
      <formula>0</formula>
      <formula>0.44</formula>
    </cfRule>
  </conditionalFormatting>
  <conditionalFormatting sqref="E43:P43">
    <cfRule type="cellIs" priority="168" operator="between" dxfId="0" stopIfTrue="1">
      <formula>1</formula>
      <formula>20</formula>
    </cfRule>
  </conditionalFormatting>
  <conditionalFormatting sqref="E44:P44">
    <cfRule type="cellIs" priority="167" operator="between" dxfId="3" stopIfTrue="1">
      <formula>1</formula>
      <formula>20</formula>
    </cfRule>
  </conditionalFormatting>
  <conditionalFormatting sqref="R43:R44">
    <cfRule type="cellIs" priority="164" operator="greaterThan" dxfId="3" stopIfTrue="1">
      <formula>0.7</formula>
    </cfRule>
    <cfRule type="cellIs" priority="165" operator="between" dxfId="7" stopIfTrue="1">
      <formula>0.69</formula>
      <formula>0.45</formula>
    </cfRule>
    <cfRule type="cellIs" priority="166" operator="between" dxfId="0" stopIfTrue="1">
      <formula>0</formula>
      <formula>0.44</formula>
    </cfRule>
  </conditionalFormatting>
  <conditionalFormatting sqref="E45:P45">
    <cfRule type="cellIs" priority="163" operator="between" dxfId="0" stopIfTrue="1">
      <formula>1</formula>
      <formula>20</formula>
    </cfRule>
  </conditionalFormatting>
  <conditionalFormatting sqref="E46:P46">
    <cfRule type="cellIs" priority="162" operator="between" dxfId="3" stopIfTrue="1">
      <formula>1</formula>
      <formula>20</formula>
    </cfRule>
  </conditionalFormatting>
  <conditionalFormatting sqref="R45:R46">
    <cfRule type="cellIs" priority="159" operator="greaterThan" dxfId="3" stopIfTrue="1">
      <formula>0.7</formula>
    </cfRule>
    <cfRule type="cellIs" priority="160" operator="between" dxfId="7" stopIfTrue="1">
      <formula>0.69</formula>
      <formula>0.45</formula>
    </cfRule>
    <cfRule type="cellIs" priority="161" operator="between" dxfId="0" stopIfTrue="1">
      <formula>0</formula>
      <formula>0.44</formula>
    </cfRule>
  </conditionalFormatting>
  <conditionalFormatting sqref="E55:P55">
    <cfRule type="cellIs" priority="143" operator="between" dxfId="0" stopIfTrue="1">
      <formula>1</formula>
      <formula>20</formula>
    </cfRule>
  </conditionalFormatting>
  <conditionalFormatting sqref="E56:P56">
    <cfRule type="cellIs" priority="142" operator="between" dxfId="3" stopIfTrue="1">
      <formula>1</formula>
      <formula>20</formula>
    </cfRule>
  </conditionalFormatting>
  <conditionalFormatting sqref="R55:R56">
    <cfRule type="cellIs" priority="139" operator="greaterThan" dxfId="3" stopIfTrue="1">
      <formula>0.7</formula>
    </cfRule>
    <cfRule type="cellIs" priority="140" operator="between" dxfId="7" stopIfTrue="1">
      <formula>0.69</formula>
      <formula>0.45</formula>
    </cfRule>
    <cfRule type="cellIs" priority="141" operator="between" dxfId="0" stopIfTrue="1">
      <formula>0</formula>
      <formula>0.44</formula>
    </cfRule>
  </conditionalFormatting>
  <conditionalFormatting sqref="E76:P76">
    <cfRule type="cellIs" priority="103" operator="between" dxfId="3" stopIfTrue="1">
      <formula>1</formula>
      <formula>20</formula>
    </cfRule>
  </conditionalFormatting>
  <conditionalFormatting sqref="R75:R76">
    <cfRule type="cellIs" priority="100" operator="greaterThan" dxfId="3" stopIfTrue="1">
      <formula>0.7</formula>
    </cfRule>
    <cfRule type="cellIs" priority="101" operator="between" dxfId="7" stopIfTrue="1">
      <formula>0.69</formula>
      <formula>0.45</formula>
    </cfRule>
    <cfRule type="cellIs" priority="102" operator="between" dxfId="0" stopIfTrue="1">
      <formula>0</formula>
      <formula>0.44</formula>
    </cfRule>
  </conditionalFormatting>
  <conditionalFormatting sqref="E75:P75">
    <cfRule type="cellIs" priority="99" operator="between" dxfId="0" stopIfTrue="1">
      <formula>1</formula>
      <formula>20</formula>
    </cfRule>
  </conditionalFormatting>
  <conditionalFormatting sqref="E92:P92">
    <cfRule type="cellIs" priority="83" operator="between" dxfId="3" stopIfTrue="1">
      <formula>1</formula>
      <formula>20</formula>
    </cfRule>
  </conditionalFormatting>
  <conditionalFormatting sqref="R91:R92">
    <cfRule type="cellIs" priority="80" operator="greaterThan" dxfId="3" stopIfTrue="1">
      <formula>0.7</formula>
    </cfRule>
    <cfRule type="cellIs" priority="81" operator="between" dxfId="7" stopIfTrue="1">
      <formula>0.69</formula>
      <formula>0.45</formula>
    </cfRule>
    <cfRule type="cellIs" priority="82" operator="between" dxfId="0" stopIfTrue="1">
      <formula>0</formula>
      <formula>0.44</formula>
    </cfRule>
  </conditionalFormatting>
  <conditionalFormatting sqref="E91:P91">
    <cfRule type="cellIs" priority="79" operator="between" dxfId="0" stopIfTrue="1">
      <formula>1</formula>
      <formula>20</formula>
    </cfRule>
  </conditionalFormatting>
  <conditionalFormatting sqref="E94:P94">
    <cfRule type="cellIs" priority="78" operator="between" dxfId="3" stopIfTrue="1">
      <formula>1</formula>
      <formula>20</formula>
    </cfRule>
  </conditionalFormatting>
  <conditionalFormatting sqref="R93:R94">
    <cfRule type="cellIs" priority="75" operator="greaterThan" dxfId="3" stopIfTrue="1">
      <formula>0.7</formula>
    </cfRule>
    <cfRule type="cellIs" priority="76" operator="between" dxfId="7" stopIfTrue="1">
      <formula>0.69</formula>
      <formula>0.45</formula>
    </cfRule>
    <cfRule type="cellIs" priority="77" operator="between" dxfId="0" stopIfTrue="1">
      <formula>0</formula>
      <formula>0.44</formula>
    </cfRule>
  </conditionalFormatting>
  <conditionalFormatting sqref="E93:P93">
    <cfRule type="cellIs" priority="74" operator="between" dxfId="0" stopIfTrue="1">
      <formula>1</formula>
      <formula>20</formula>
    </cfRule>
  </conditionalFormatting>
  <conditionalFormatting sqref="E96:P96">
    <cfRule type="cellIs" priority="68" operator="between" dxfId="3" stopIfTrue="1">
      <formula>1</formula>
      <formula>20</formula>
    </cfRule>
  </conditionalFormatting>
  <conditionalFormatting sqref="R95:R96">
    <cfRule type="cellIs" priority="65" operator="greaterThan" dxfId="3" stopIfTrue="1">
      <formula>0.7</formula>
    </cfRule>
    <cfRule type="cellIs" priority="66" operator="between" dxfId="7" stopIfTrue="1">
      <formula>0.69</formula>
      <formula>0.45</formula>
    </cfRule>
    <cfRule type="cellIs" priority="67" operator="between" dxfId="0" stopIfTrue="1">
      <formula>0</formula>
      <formula>0.44</formula>
    </cfRule>
  </conditionalFormatting>
  <conditionalFormatting sqref="E95:P95">
    <cfRule type="cellIs" priority="64" operator="between" dxfId="0" stopIfTrue="1">
      <formula>1</formula>
      <formula>20</formula>
    </cfRule>
  </conditionalFormatting>
  <conditionalFormatting sqref="E98:P98">
    <cfRule type="cellIs" priority="63" operator="between" dxfId="3" stopIfTrue="1">
      <formula>1</formula>
      <formula>20</formula>
    </cfRule>
  </conditionalFormatting>
  <conditionalFormatting sqref="R97:R98">
    <cfRule type="cellIs" priority="60" operator="greaterThan" dxfId="3" stopIfTrue="1">
      <formula>0.7</formula>
    </cfRule>
    <cfRule type="cellIs" priority="61" operator="between" dxfId="7" stopIfTrue="1">
      <formula>0.69</formula>
      <formula>0.45</formula>
    </cfRule>
    <cfRule type="cellIs" priority="62" operator="between" dxfId="0" stopIfTrue="1">
      <formula>0</formula>
      <formula>0.44</formula>
    </cfRule>
  </conditionalFormatting>
  <conditionalFormatting sqref="E97:P97">
    <cfRule type="cellIs" priority="59" operator="between" dxfId="0" stopIfTrue="1">
      <formula>1</formula>
      <formula>20</formula>
    </cfRule>
  </conditionalFormatting>
  <conditionalFormatting sqref="E100:P100">
    <cfRule type="cellIs" priority="48" operator="between" dxfId="3" stopIfTrue="1">
      <formula>1</formula>
      <formula>20</formula>
    </cfRule>
  </conditionalFormatting>
  <conditionalFormatting sqref="R99:R100">
    <cfRule type="cellIs" priority="45" operator="greaterThan" dxfId="3" stopIfTrue="1">
      <formula>0.7</formula>
    </cfRule>
    <cfRule type="cellIs" priority="46" operator="between" dxfId="7" stopIfTrue="1">
      <formula>0.69</formula>
      <formula>0.45</formula>
    </cfRule>
    <cfRule type="cellIs" priority="47" operator="between" dxfId="0" stopIfTrue="1">
      <formula>0</formula>
      <formula>0.44</formula>
    </cfRule>
  </conditionalFormatting>
  <conditionalFormatting sqref="E99:P99">
    <cfRule type="cellIs" priority="44" operator="between" dxfId="0" stopIfTrue="1">
      <formula>1</formula>
      <formula>20</formula>
    </cfRule>
  </conditionalFormatting>
  <conditionalFormatting sqref="E47:P47">
    <cfRule type="cellIs" priority="18" operator="between" dxfId="0" stopIfTrue="1">
      <formula>1</formula>
      <formula>20</formula>
    </cfRule>
  </conditionalFormatting>
  <conditionalFormatting sqref="E48:P48">
    <cfRule type="cellIs" priority="17" operator="between" dxfId="3" stopIfTrue="1">
      <formula>1</formula>
      <formula>20</formula>
    </cfRule>
  </conditionalFormatting>
  <conditionalFormatting sqref="R47:R48">
    <cfRule type="cellIs" priority="14" operator="greaterThan" dxfId="3" stopIfTrue="1">
      <formula>0.7</formula>
    </cfRule>
    <cfRule type="cellIs" priority="15" operator="between" dxfId="7" stopIfTrue="1">
      <formula>0.69</formula>
      <formula>0.45</formula>
    </cfRule>
    <cfRule type="cellIs" priority="16" operator="between" dxfId="0" stopIfTrue="1">
      <formula>0</formula>
      <formula>0.44</formula>
    </cfRule>
  </conditionalFormatting>
  <conditionalFormatting sqref="E29:P29">
    <cfRule type="cellIs" priority="13" operator="between" dxfId="0" stopIfTrue="1">
      <formula>1</formula>
      <formula>20</formula>
    </cfRule>
  </conditionalFormatting>
  <conditionalFormatting sqref="E30:P30">
    <cfRule type="cellIs" priority="12" operator="between" dxfId="3" stopIfTrue="1">
      <formula>1</formula>
      <formula>20</formula>
    </cfRule>
  </conditionalFormatting>
  <conditionalFormatting sqref="R29:R30">
    <cfRule type="cellIs" priority="9" operator="greaterThan" dxfId="3" stopIfTrue="1">
      <formula>0.7</formula>
    </cfRule>
    <cfRule type="cellIs" priority="10" operator="between" dxfId="7" stopIfTrue="1">
      <formula>0.69</formula>
      <formula>0.45</formula>
    </cfRule>
    <cfRule type="cellIs" priority="11" operator="between" dxfId="0" stopIfTrue="1">
      <formula>0</formula>
      <formula>0.44</formula>
    </cfRule>
  </conditionalFormatting>
  <conditionalFormatting sqref="E21:P21 F22:P22">
    <cfRule type="cellIs" priority="7" operator="between" dxfId="0" stopIfTrue="1">
      <formula>1</formula>
      <formula>20</formula>
    </cfRule>
  </conditionalFormatting>
  <conditionalFormatting sqref="E24:P24">
    <cfRule type="cellIs" priority="3" operator="between" dxfId="3" stopIfTrue="1">
      <formula>1</formula>
      <formula>20</formula>
    </cfRule>
  </conditionalFormatting>
  <conditionalFormatting sqref="E22">
    <cfRule type="cellIs" priority="5" operator="between" dxfId="3" stopIfTrue="1">
      <formula>1</formula>
      <formula>20</formula>
    </cfRule>
  </conditionalFormatting>
  <conditionalFormatting sqref="E23:P23">
    <cfRule type="cellIs" priority="4" operator="between" dxfId="0" stopIfTrue="1">
      <formula>1</formula>
      <formula>20</formula>
    </cfRule>
  </conditionalFormatting>
  <conditionalFormatting sqref="I61:P61">
    <cfRule type="cellIs" priority="2" operator="between" dxfId="0" stopIfTrue="1">
      <formula>1</formula>
      <formula>20</formula>
    </cfRule>
  </conditionalFormatting>
  <conditionalFormatting sqref="H61">
    <cfRule type="cellIs" priority="1" operator="between" dxfId="0" stopIfTrue="1">
      <formula>1</formula>
      <formula>20</formula>
    </cfRule>
  </conditionalFormatting>
  <printOptions horizontalCentered="1"/>
  <pageMargins left="0.3937007874015748" right="0.3937007874015748" top="0.5905511811023623" bottom="0.5905511811023623" header="0" footer="0"/>
  <pageSetup orientation="portrait" scale="18" horizontalDpi="300" verticalDpi="196"/>
  <headerFooter alignWithMargins="0">
    <oddHeader/>
    <oddFooter>&amp;R&amp;8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G12" sqref="G12"/>
    </sheetView>
  </sheetViews>
  <sheetFormatPr baseColWidth="10" defaultRowHeight="13.2"/>
  <sheetData>
    <row r="1"/>
    <row r="2">
      <c r="C2" s="4" t="inlineStr">
        <is>
          <t>VERSIÓN: 1</t>
        </is>
      </c>
      <c r="D2" s="4" t="inlineStr">
        <is>
          <t>FECHA: 01/02/2026</t>
        </is>
      </c>
      <c r="E2" s="4" t="inlineStr">
        <is>
          <t>cambio</t>
        </is>
      </c>
      <c r="F2" s="157" t="n"/>
      <c r="G2" s="157" t="n"/>
      <c r="H2" s="158" t="n"/>
    </row>
    <row r="3">
      <c r="C3" s="2" t="n">
        <v>1</v>
      </c>
      <c r="D3" s="3" t="n">
        <v>46057</v>
      </c>
      <c r="E3" s="5" t="inlineStr">
        <is>
          <t>Se crea plan</t>
        </is>
      </c>
      <c r="F3" s="157" t="n"/>
      <c r="G3" s="157" t="n"/>
      <c r="H3" s="158" t="n"/>
    </row>
    <row r="4">
      <c r="C4" s="2" t="n">
        <v>2</v>
      </c>
      <c r="D4" s="3" t="n">
        <v>46057</v>
      </c>
      <c r="E4" s="5" t="inlineStr">
        <is>
          <t>CODIGO:
FG-FOR-SST-11</t>
        </is>
      </c>
      <c r="F4" s="157" t="n"/>
      <c r="G4" s="157" t="n"/>
      <c r="H4" s="158" t="n"/>
    </row>
    <row r="5">
      <c r="C5" s="2" t="n"/>
      <c r="D5" s="3" t="n"/>
      <c r="E5" s="5" t="n"/>
      <c r="F5" s="157" t="n"/>
      <c r="G5" s="157" t="n"/>
      <c r="H5" s="158" t="n"/>
    </row>
    <row r="6">
      <c r="C6" s="2" t="n"/>
      <c r="D6" s="2" t="n"/>
      <c r="E6" s="6" t="n"/>
      <c r="F6" s="157" t="n"/>
      <c r="G6" s="157" t="n"/>
      <c r="H6" s="158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5">
    <mergeCell ref="E2:H2"/>
    <mergeCell ref="E3:H3"/>
    <mergeCell ref="E4:H4"/>
    <mergeCell ref="E6:H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SSECAM CONSULTORES SAS;RICARDO ABSALON BERNAL</dc:creator>
  <dcterms:created xmlns:dcterms="http://purl.org/dc/terms/" xmlns:xsi="http://www.w3.org/2001/XMLSchema-instance" xsi:type="dcterms:W3CDTF">2008-10-02T15:12:04Z</dcterms:created>
  <dcterms:modified xmlns:dcterms="http://purl.org/dc/terms/" xmlns:xsi="http://www.w3.org/2001/XMLSchema-instance" xsi:type="dcterms:W3CDTF">2026-05-27T17:36:53Z</dcterms:modified>
  <cp:lastModifiedBy>DANIELA</cp:lastModifiedBy>
  <cp:lastPrinted>2024-01-31T16:00:41Z</cp:lastPrinted>
</cp:coreProperties>
</file>